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3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AE1" i="8" l="1"/>
  <c r="AD1" i="8"/>
  <c r="AC1" i="8"/>
  <c r="W1" i="8"/>
  <c r="X1" i="8" s="1"/>
  <c r="Y1" i="8" s="1"/>
  <c r="Z1" i="8" s="1"/>
  <c r="AA1" i="8" s="1"/>
  <c r="AB1" i="8" s="1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C1" i="8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5" i="7"/>
  <c r="I14" i="6" s="1"/>
  <c r="K3" i="6"/>
</calcChain>
</file>

<file path=xl/sharedStrings.xml><?xml version="1.0" encoding="utf-8"?>
<sst xmlns="http://schemas.openxmlformats.org/spreadsheetml/2006/main" count="1072" uniqueCount="93">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</sst>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8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61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62</v>
      </c>
    </row>
    <row r="36" spans="4:5" x14ac:dyDescent="0.25">
      <c r="D36" s="44" t="s">
        <v>63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workbookViewId="0">
      <selection activeCell="I22" sqref="I22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65</v>
      </c>
      <c r="J2" s="72" t="s">
        <v>66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2.7516363263130188</v>
      </c>
      <c r="R2" s="74">
        <f>SUM(R4:R13)</f>
        <v>0.99999999999999989</v>
      </c>
      <c r="S2" s="122"/>
      <c r="T2" s="123"/>
      <c r="V2" s="51" t="s">
        <v>65</v>
      </c>
      <c r="W2" s="74">
        <f>SUM(W4:W6)</f>
        <v>0.32373000383377076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 t="str">
        <f>IF(P4,T4,"")</f>
        <v/>
      </c>
      <c r="G3" s="98">
        <f>IF(P17,T17,"")</f>
        <v>6.9530995319812383E-2</v>
      </c>
      <c r="H3" s="99" t="str">
        <f>IF(P30,T30,"")</f>
        <v/>
      </c>
      <c r="I3" s="137"/>
      <c r="J3" s="138"/>
      <c r="K3" s="110">
        <f t="shared" ref="K3:K11" si="0">SUM(E3:H3)</f>
        <v>0.56953099531981244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0.5</v>
      </c>
      <c r="F4" s="100">
        <f t="shared" ref="F4:F11" si="1">IF(P5,T5,"")</f>
        <v>0.20487477720307096</v>
      </c>
      <c r="G4" s="100" t="str">
        <f t="shared" ref="G4:G11" si="2">IF(P18,T18,"")</f>
        <v/>
      </c>
      <c r="H4" s="101">
        <f t="shared" ref="H4:H11" si="3">IF(P31,T31,"")</f>
        <v>0.10685462256250811</v>
      </c>
      <c r="I4" s="139"/>
      <c r="J4" s="140"/>
      <c r="K4" s="111">
        <f t="shared" si="0"/>
        <v>0.81172939976557912</v>
      </c>
      <c r="L4" s="9"/>
      <c r="M4" s="78" t="s">
        <v>31</v>
      </c>
      <c r="N4" s="83">
        <v>1</v>
      </c>
      <c r="O4" s="53">
        <v>0.48203015327453613</v>
      </c>
      <c r="P4" s="83">
        <f>IF(O4&gt;0.5,1,0)</f>
        <v>0</v>
      </c>
      <c r="Q4" s="53">
        <v>0</v>
      </c>
      <c r="R4" s="53">
        <f t="shared" ref="R4:R13" si="4">$M$3/$Q$2 * Q4</f>
        <v>0</v>
      </c>
      <c r="S4" s="53">
        <v>0.75</v>
      </c>
      <c r="T4" s="84">
        <f>S4*R4</f>
        <v>0</v>
      </c>
      <c r="V4" s="78" t="s">
        <v>14</v>
      </c>
      <c r="W4" s="53">
        <v>0.1</v>
      </c>
      <c r="X4" s="53">
        <f>$V$3/$W$2 * W4</f>
        <v>0.30889938781005949</v>
      </c>
      <c r="Y4" s="83">
        <v>20</v>
      </c>
      <c r="Z4" s="150">
        <v>-19</v>
      </c>
      <c r="AA4" s="152">
        <f>Y4+(Z4*X4)</f>
        <v>14.130911631608869</v>
      </c>
    </row>
    <row r="5" spans="4:27" x14ac:dyDescent="0.25">
      <c r="D5" s="1" t="s">
        <v>5</v>
      </c>
      <c r="E5" s="88">
        <v>50</v>
      </c>
      <c r="F5" s="117">
        <f t="shared" si="1"/>
        <v>21.25274806255511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71.252748062555114</v>
      </c>
      <c r="L5" s="9" t="s">
        <v>59</v>
      </c>
      <c r="M5" s="79" t="s">
        <v>32</v>
      </c>
      <c r="N5" s="59">
        <v>1</v>
      </c>
      <c r="O5" s="54">
        <v>0.9800075888633728</v>
      </c>
      <c r="P5" s="59">
        <f t="shared" ref="P5:P8" si="5">IF(O5&gt;0.5,1,0)</f>
        <v>1</v>
      </c>
      <c r="Q5" s="54">
        <v>0.75165450572967529</v>
      </c>
      <c r="R5" s="54">
        <f t="shared" si="4"/>
        <v>0.27316636960409463</v>
      </c>
      <c r="S5" s="54">
        <v>0.75</v>
      </c>
      <c r="T5" s="58">
        <f>S5*R5</f>
        <v>0.20487477720307096</v>
      </c>
      <c r="V5" s="79" t="s">
        <v>7</v>
      </c>
      <c r="W5" s="54">
        <v>0.1</v>
      </c>
      <c r="X5" s="54">
        <f>$V$3/$W$2 * W5</f>
        <v>0.30889938781005949</v>
      </c>
      <c r="Y5" s="54"/>
      <c r="Z5" s="151">
        <v>50</v>
      </c>
      <c r="AA5" s="58">
        <f>Z5*X5</f>
        <v>15.444969390502974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-0.3197480972352158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0.6802519027647842</v>
      </c>
      <c r="L6" s="9" t="s">
        <v>60</v>
      </c>
      <c r="M6" s="79" t="s">
        <v>5</v>
      </c>
      <c r="N6" s="59">
        <v>1</v>
      </c>
      <c r="O6" s="54">
        <v>0.70229297876358032</v>
      </c>
      <c r="P6" s="59">
        <f t="shared" si="5"/>
        <v>1</v>
      </c>
      <c r="Q6" s="54">
        <v>0.58479833602905273</v>
      </c>
      <c r="R6" s="54">
        <f t="shared" si="4"/>
        <v>0.2125274806255511</v>
      </c>
      <c r="S6" s="54">
        <v>100</v>
      </c>
      <c r="T6" s="58">
        <f>S6*R6</f>
        <v>21.25274806255511</v>
      </c>
      <c r="V6" s="132" t="s">
        <v>12</v>
      </c>
      <c r="W6" s="114">
        <v>0.12373000383377075</v>
      </c>
      <c r="X6" s="55">
        <f>$V$3/$W$2 * W6</f>
        <v>0.38220122437988097</v>
      </c>
      <c r="Y6" s="75"/>
      <c r="Z6" s="33">
        <v>100</v>
      </c>
      <c r="AA6" s="134">
        <f>Z6*(X6)</f>
        <v>38.220122437988095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0.9372822642326355</v>
      </c>
      <c r="P7" s="76">
        <f t="shared" si="5"/>
        <v>1</v>
      </c>
      <c r="Q7" s="55">
        <v>0.87983047962188721</v>
      </c>
      <c r="R7" s="55">
        <f t="shared" si="4"/>
        <v>0.3197480972352158</v>
      </c>
      <c r="S7" s="55">
        <v>-1</v>
      </c>
      <c r="T7" s="77">
        <f t="shared" ref="T7:T8" si="6">S7*R7</f>
        <v>-0.3197480972352158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 t="str">
        <f t="shared" si="2"/>
        <v/>
      </c>
      <c r="H8" s="121" t="str">
        <f t="shared" si="3"/>
        <v/>
      </c>
      <c r="I8" s="139"/>
      <c r="J8" s="140"/>
      <c r="K8" s="124">
        <f t="shared" si="0"/>
        <v>0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0.79153029524173346</v>
      </c>
      <c r="H9" s="115">
        <f t="shared" si="3"/>
        <v>0.11541308218102297</v>
      </c>
      <c r="I9" s="139"/>
      <c r="J9" s="140"/>
      <c r="K9" s="113">
        <f t="shared" si="0"/>
        <v>1.9069433774227567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7.6664108368114339E-2</v>
      </c>
      <c r="G10" s="104" t="str">
        <f t="shared" si="2"/>
        <v/>
      </c>
      <c r="H10" s="108">
        <f t="shared" si="3"/>
        <v>0.25908425232709292</v>
      </c>
      <c r="I10" s="139"/>
      <c r="J10" s="140"/>
      <c r="K10" s="114">
        <f t="shared" si="0"/>
        <v>1.3357483606952072</v>
      </c>
      <c r="L10" s="9"/>
      <c r="M10" s="81" t="s">
        <v>64</v>
      </c>
      <c r="N10" s="60">
        <v>1</v>
      </c>
      <c r="O10" s="63">
        <v>0.31776505708694458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 t="str">
        <f t="shared" si="2"/>
        <v/>
      </c>
      <c r="H11" s="127" t="str">
        <f t="shared" si="3"/>
        <v/>
      </c>
      <c r="I11" s="141"/>
      <c r="J11" s="142"/>
      <c r="K11" s="128">
        <f t="shared" si="0"/>
        <v>1</v>
      </c>
      <c r="L11" s="9" t="s">
        <v>58</v>
      </c>
      <c r="M11" s="79" t="s">
        <v>51</v>
      </c>
      <c r="N11" s="59">
        <v>1</v>
      </c>
      <c r="O11" s="54">
        <v>0.73838210105895996</v>
      </c>
      <c r="P11" s="59">
        <f>IF(O11&gt;0.5,1,0)</f>
        <v>1</v>
      </c>
      <c r="Q11" s="54">
        <v>0.21095174551010132</v>
      </c>
      <c r="R11" s="54">
        <f t="shared" si="4"/>
        <v>7.6664108368114339E-2</v>
      </c>
      <c r="S11" s="54">
        <v>1</v>
      </c>
      <c r="T11" s="58">
        <f>S11*R11</f>
        <v>7.6664108368114339E-2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0.32440125942230225</v>
      </c>
      <c r="R13" s="114">
        <f t="shared" si="4"/>
        <v>0.11789394416702406</v>
      </c>
      <c r="S13" s="33">
        <v>100</v>
      </c>
      <c r="T13" s="134">
        <f>S13*(R13)</f>
        <v>11.789394416702406</v>
      </c>
    </row>
    <row r="14" spans="4:27" ht="30.75" thickBot="1" x14ac:dyDescent="0.3">
      <c r="D14" s="9"/>
      <c r="I14" s="148" t="str">
        <f>WeaponRoller!I5</f>
        <v>Targetted Melee Physical</v>
      </c>
    </row>
    <row r="15" spans="4:27" ht="15.75" thickBot="1" x14ac:dyDescent="0.3">
      <c r="D15" s="13" t="s">
        <v>12</v>
      </c>
      <c r="E15" s="130">
        <v>50</v>
      </c>
      <c r="F15" s="136">
        <f>T13</f>
        <v>11.789394416702406</v>
      </c>
      <c r="G15" s="136">
        <f>T26</f>
        <v>23.15234219970332</v>
      </c>
      <c r="H15" s="136">
        <f>T39</f>
        <v>48.302983540853987</v>
      </c>
      <c r="I15" s="156">
        <f>AA6</f>
        <v>38.220122437988095</v>
      </c>
      <c r="J15" s="131"/>
      <c r="K15" s="146"/>
      <c r="M15" s="51" t="s">
        <v>56</v>
      </c>
      <c r="N15" s="122"/>
      <c r="O15" s="122"/>
      <c r="P15" s="122"/>
      <c r="Q15" s="74">
        <f>SUM(Q17:Q26)</f>
        <v>1.0786556363105775</v>
      </c>
      <c r="R15" s="74">
        <f>SUM(R17:R26)</f>
        <v>0.99999999999999989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14.130911631608869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34.751181128631693</v>
      </c>
      <c r="J17" s="93"/>
      <c r="K17" s="94"/>
      <c r="M17" s="78" t="s">
        <v>31</v>
      </c>
      <c r="N17" s="83">
        <v>1</v>
      </c>
      <c r="O17" s="53">
        <v>0.84310728311538696</v>
      </c>
      <c r="P17" s="83">
        <f>IF(O17&gt;0.5,1,0)</f>
        <v>1</v>
      </c>
      <c r="Q17" s="53">
        <v>0.1</v>
      </c>
      <c r="R17" s="53">
        <f t="shared" ref="R17:R25" si="7">$M$16/$Q$15 * Q17</f>
        <v>9.2707993759749835E-2</v>
      </c>
      <c r="S17" s="53">
        <v>0.75</v>
      </c>
      <c r="T17" s="84">
        <f>S17*R17</f>
        <v>6.9530995319812383E-2</v>
      </c>
    </row>
    <row r="18" spans="4:20" x14ac:dyDescent="0.25"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100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0.12891215085983276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0.41326296329498291</v>
      </c>
      <c r="P22" s="76">
        <f>IF(O22&gt;0.5,1,0)</f>
        <v>0</v>
      </c>
      <c r="Q22" s="55">
        <v>0</v>
      </c>
      <c r="R22" s="55">
        <f t="shared" si="7"/>
        <v>0</v>
      </c>
      <c r="S22" s="55">
        <v>20</v>
      </c>
      <c r="T22" s="77">
        <f>S22*R22</f>
        <v>0</v>
      </c>
    </row>
    <row r="23" spans="4:20" x14ac:dyDescent="0.25">
      <c r="M23" s="81" t="s">
        <v>64</v>
      </c>
      <c r="N23" s="60">
        <v>1</v>
      </c>
      <c r="O23" s="63">
        <v>0.82578974962234497</v>
      </c>
      <c r="P23" s="60">
        <f>IF(O23&gt;0.5,1,0)</f>
        <v>1</v>
      </c>
      <c r="Q23" s="63">
        <v>0.85378861427307129</v>
      </c>
      <c r="R23" s="63">
        <f t="shared" si="7"/>
        <v>0.79153029524173346</v>
      </c>
      <c r="S23" s="63">
        <v>1</v>
      </c>
      <c r="T23" s="82">
        <f>S23*R23</f>
        <v>0.79153029524173346</v>
      </c>
    </row>
    <row r="24" spans="4:20" x14ac:dyDescent="0.25">
      <c r="M24" s="79" t="s">
        <v>13</v>
      </c>
      <c r="N24" s="59">
        <v>1</v>
      </c>
      <c r="O24" s="54">
        <v>3.5371243953704834E-2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0.2250441312789917</v>
      </c>
      <c r="P25" s="76">
        <f>IF(O25&gt;0.5,1,0)</f>
        <v>0</v>
      </c>
      <c r="Q25" s="55">
        <v>0</v>
      </c>
      <c r="R25" s="55">
        <f t="shared" si="7"/>
        <v>0</v>
      </c>
      <c r="S25" s="55">
        <v>5</v>
      </c>
      <c r="T25" s="77">
        <f>S25*(1-R25)</f>
        <v>5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0.1248670220375061</v>
      </c>
      <c r="R26" s="114">
        <f>$M$3/$Q$15 * Q26</f>
        <v>0.11576171099851661</v>
      </c>
      <c r="S26" s="33">
        <v>200</v>
      </c>
      <c r="T26" s="134">
        <f>S26*(R26)</f>
        <v>23.15234219970332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1.8124518394470215</v>
      </c>
      <c r="R28" s="74">
        <f>SUM(R30:R39)</f>
        <v>0.99999999999999978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0.95655679702758789</v>
      </c>
      <c r="P31" s="59">
        <f t="shared" ref="P31:P34" si="11">IF(O31&gt;0.5,1,0)</f>
        <v>1</v>
      </c>
      <c r="Q31" s="54">
        <v>0.25822514295578003</v>
      </c>
      <c r="R31" s="54">
        <f t="shared" si="10"/>
        <v>0.14247283008334413</v>
      </c>
      <c r="S31" s="54">
        <v>0.75</v>
      </c>
      <c r="T31" s="61">
        <f>S31*R31</f>
        <v>0.10685462256250811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100</v>
      </c>
      <c r="T32" s="58">
        <f>S32*(1-R32)</f>
        <v>100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0.61879932880401611</v>
      </c>
      <c r="P36" s="60">
        <f>IF(O36&gt;0.5,1,0)</f>
        <v>1</v>
      </c>
      <c r="Q36" s="63">
        <v>0.20918065309524536</v>
      </c>
      <c r="R36" s="63">
        <f t="shared" si="10"/>
        <v>0.11541308218102297</v>
      </c>
      <c r="S36" s="63">
        <v>1</v>
      </c>
      <c r="T36" s="82">
        <f>S36*R36</f>
        <v>0.11541308218102297</v>
      </c>
    </row>
    <row r="37" spans="13:20" x14ac:dyDescent="0.25">
      <c r="M37" s="79" t="s">
        <v>13</v>
      </c>
      <c r="N37" s="59">
        <v>1</v>
      </c>
      <c r="O37" s="54">
        <v>0.57898211479187012</v>
      </c>
      <c r="P37" s="59">
        <f>IF(O37&gt;0.5,1,0)</f>
        <v>1</v>
      </c>
      <c r="Q37" s="54">
        <v>0.46957772970199585</v>
      </c>
      <c r="R37" s="54">
        <f t="shared" si="10"/>
        <v>0.25908425232709292</v>
      </c>
      <c r="S37" s="54">
        <v>1</v>
      </c>
      <c r="T37" s="58">
        <f>S37*R37</f>
        <v>0.25908425232709292</v>
      </c>
    </row>
    <row r="38" spans="13:20" ht="15.75" thickBot="1" x14ac:dyDescent="0.3">
      <c r="M38" s="80" t="s">
        <v>15</v>
      </c>
      <c r="N38" s="76">
        <v>1</v>
      </c>
      <c r="O38" s="55">
        <v>0.26663243770599365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0.87546831369400024</v>
      </c>
      <c r="R39" s="114">
        <f>$M$3/$Q$28 * Q39</f>
        <v>0.48302983540853989</v>
      </c>
      <c r="S39" s="33">
        <v>100</v>
      </c>
      <c r="T39" s="134">
        <f>S39*(R39)</f>
        <v>48.302983540853987</v>
      </c>
    </row>
  </sheetData>
  <conditionalFormatting sqref="T13 N13 Q13:R13 N4:T12">
    <cfRule type="expression" dxfId="27" priority="23">
      <formula>$N4=0</formula>
    </cfRule>
  </conditionalFormatting>
  <conditionalFormatting sqref="T13 Q13:R13 Q4:T12">
    <cfRule type="expression" dxfId="26" priority="24">
      <formula>$P4=0</formula>
    </cfRule>
  </conditionalFormatting>
  <conditionalFormatting sqref="N17:R25 T17:T25">
    <cfRule type="expression" dxfId="25" priority="21">
      <formula>$N17=0</formula>
    </cfRule>
  </conditionalFormatting>
  <conditionalFormatting sqref="Q17:R25 T17:T25">
    <cfRule type="expression" dxfId="24" priority="22">
      <formula>$P17=0</formula>
    </cfRule>
  </conditionalFormatting>
  <conditionalFormatting sqref="N30:R38 T30:T38">
    <cfRule type="expression" dxfId="23" priority="19">
      <formula>$N30=0</formula>
    </cfRule>
  </conditionalFormatting>
  <conditionalFormatting sqref="Q30:R38 T30:T38">
    <cfRule type="expression" dxfId="22" priority="20">
      <formula>$P30=0</formula>
    </cfRule>
  </conditionalFormatting>
  <conditionalFormatting sqref="S30:S32 S34:S38">
    <cfRule type="expression" dxfId="21" priority="11">
      <formula>$N30=0</formula>
    </cfRule>
  </conditionalFormatting>
  <conditionalFormatting sqref="S17:S19 S21:S25">
    <cfRule type="expression" dxfId="20" priority="13">
      <formula>$N17=0</formula>
    </cfRule>
  </conditionalFormatting>
  <conditionalFormatting sqref="S17:S19 S21:S25">
    <cfRule type="expression" dxfId="19" priority="14">
      <formula>$P17=0</formula>
    </cfRule>
  </conditionalFormatting>
  <conditionalFormatting sqref="S30:S32 S34:S38">
    <cfRule type="expression" dxfId="18" priority="12">
      <formula>$P30=0</formula>
    </cfRule>
  </conditionalFormatting>
  <conditionalFormatting sqref="T39 N39 Q39:R39">
    <cfRule type="expression" dxfId="17" priority="7">
      <formula>$N39=0</formula>
    </cfRule>
  </conditionalFormatting>
  <conditionalFormatting sqref="T26 N26 Q26:R26">
    <cfRule type="expression" dxfId="16" priority="9">
      <formula>$N26=0</formula>
    </cfRule>
  </conditionalFormatting>
  <conditionalFormatting sqref="T26 Q26:R26">
    <cfRule type="expression" dxfId="15" priority="10">
      <formula>$P26=0</formula>
    </cfRule>
  </conditionalFormatting>
  <conditionalFormatting sqref="T39 Q39:R39">
    <cfRule type="expression" dxfId="14" priority="8">
      <formula>$P39=0</formula>
    </cfRule>
  </conditionalFormatting>
  <conditionalFormatting sqref="AA6 W4:AA5 W6:Y6">
    <cfRule type="expression" dxfId="13" priority="25">
      <formula>#REF!=0</formula>
    </cfRule>
  </conditionalFormatting>
  <conditionalFormatting sqref="AA6 W4:AA5 W6:Y6">
    <cfRule type="expression" dxfId="12" priority="26">
      <formula>#REF!=0</formula>
    </cfRule>
  </conditionalFormatting>
  <conditionalFormatting sqref="S20">
    <cfRule type="expression" dxfId="11" priority="3">
      <formula>$N20=0</formula>
    </cfRule>
  </conditionalFormatting>
  <conditionalFormatting sqref="S20">
    <cfRule type="expression" dxfId="10" priority="4">
      <formula>$P20=0</formula>
    </cfRule>
  </conditionalFormatting>
  <conditionalFormatting sqref="S33">
    <cfRule type="expression" dxfId="9" priority="1">
      <formula>$N33=0</formula>
    </cfRule>
  </conditionalFormatting>
  <conditionalFormatting sqref="S33">
    <cfRule type="expression" dxfId="8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8" sqref="G18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Melee Physical</v>
      </c>
      <c r="J5" s="52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6" t="s">
        <v>18</v>
      </c>
      <c r="C6" s="47"/>
      <c r="G6" s="38">
        <v>4.8960685729980469E-2</v>
      </c>
      <c r="H6" s="38">
        <f>COUNTA(I7:I16)</f>
        <v>10</v>
      </c>
      <c r="I6" s="147" t="s">
        <v>65</v>
      </c>
      <c r="J6" t="s">
        <v>73</v>
      </c>
      <c r="M6" s="147" t="s">
        <v>66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>x</v>
      </c>
      <c r="G7" s="56">
        <f>H7/$H$6-0.1</f>
        <v>0</v>
      </c>
      <c r="H7" s="7">
        <v>1</v>
      </c>
      <c r="I7" s="43" t="s">
        <v>67</v>
      </c>
      <c r="J7" s="43">
        <f>$C$7*$C$12</f>
        <v>2.25</v>
      </c>
      <c r="M7" s="44" t="s">
        <v>74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70</v>
      </c>
      <c r="J8" s="44">
        <f>$C$7*$C$13</f>
        <v>1.5</v>
      </c>
      <c r="M8" s="44" t="s">
        <v>75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68</v>
      </c>
      <c r="J9" s="44">
        <f>$C$7*$C$12</f>
        <v>2.25</v>
      </c>
      <c r="M9" s="44" t="s">
        <v>76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69</v>
      </c>
      <c r="J10" s="44">
        <f>$C$7*$C$13</f>
        <v>1.5</v>
      </c>
      <c r="M10" s="44" t="s">
        <v>77</v>
      </c>
    </row>
    <row r="11" spans="2:13" x14ac:dyDescent="0.25">
      <c r="B11" s="48" t="s">
        <v>61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83</v>
      </c>
      <c r="J11" s="43">
        <f>$C$8*$C$13</f>
        <v>0.33</v>
      </c>
      <c r="M11" s="44" t="s">
        <v>78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82</v>
      </c>
      <c r="J12" s="44">
        <f>$C$8*$C$13</f>
        <v>0.33</v>
      </c>
      <c r="M12" s="44" t="s">
        <v>79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80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81</v>
      </c>
      <c r="J14" s="45">
        <f>$C$9*$C$12</f>
        <v>0.495</v>
      </c>
      <c r="M14" s="44"/>
    </row>
    <row r="15" spans="2:13" x14ac:dyDescent="0.25">
      <c r="B15" s="44" t="s">
        <v>62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71</v>
      </c>
      <c r="J15" s="44">
        <f>C10</f>
        <v>0.75</v>
      </c>
      <c r="M15" s="44"/>
    </row>
    <row r="16" spans="2:13" ht="15.75" thickBot="1" x14ac:dyDescent="0.3">
      <c r="B16" s="45" t="s">
        <v>63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72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H32"/>
  <sheetViews>
    <sheetView tabSelected="1" workbookViewId="0">
      <selection activeCell="AH29" sqref="AH29"/>
    </sheetView>
  </sheetViews>
  <sheetFormatPr defaultRowHeight="15" x14ac:dyDescent="0.25"/>
  <cols>
    <col min="3" max="10" width="2" bestFit="1" customWidth="1"/>
    <col min="11" max="31" width="3" bestFit="1" customWidth="1"/>
    <col min="33" max="33" width="2.140625" bestFit="1" customWidth="1"/>
  </cols>
  <sheetData>
    <row r="1" spans="2:34" x14ac:dyDescent="0.25">
      <c r="B1" s="7">
        <v>1</v>
      </c>
      <c r="C1" s="7">
        <f>B1+1</f>
        <v>2</v>
      </c>
      <c r="D1" s="7">
        <f t="shared" ref="D1:AE1" si="0">C1+1</f>
        <v>3</v>
      </c>
      <c r="E1" s="7">
        <f t="shared" si="0"/>
        <v>4</v>
      </c>
      <c r="F1" s="7">
        <f t="shared" si="0"/>
        <v>5</v>
      </c>
      <c r="G1" s="7">
        <f t="shared" si="0"/>
        <v>6</v>
      </c>
      <c r="H1" s="7">
        <f t="shared" si="0"/>
        <v>7</v>
      </c>
      <c r="I1" s="7">
        <f t="shared" si="0"/>
        <v>8</v>
      </c>
      <c r="J1" s="7">
        <f t="shared" si="0"/>
        <v>9</v>
      </c>
      <c r="K1" s="7">
        <f t="shared" si="0"/>
        <v>10</v>
      </c>
      <c r="L1" s="7">
        <f t="shared" si="0"/>
        <v>11</v>
      </c>
      <c r="M1" s="7">
        <f t="shared" si="0"/>
        <v>12</v>
      </c>
      <c r="N1" s="7">
        <f t="shared" si="0"/>
        <v>13</v>
      </c>
      <c r="O1" s="7">
        <f t="shared" si="0"/>
        <v>14</v>
      </c>
      <c r="P1" s="7">
        <f t="shared" si="0"/>
        <v>15</v>
      </c>
      <c r="Q1" s="7">
        <f t="shared" si="0"/>
        <v>16</v>
      </c>
      <c r="R1" s="7">
        <f t="shared" si="0"/>
        <v>17</v>
      </c>
      <c r="S1" s="7">
        <f t="shared" si="0"/>
        <v>18</v>
      </c>
      <c r="T1" s="7">
        <f t="shared" si="0"/>
        <v>19</v>
      </c>
      <c r="U1" s="7">
        <f t="shared" si="0"/>
        <v>20</v>
      </c>
      <c r="V1" s="7">
        <f t="shared" si="0"/>
        <v>21</v>
      </c>
      <c r="W1" s="7">
        <f t="shared" si="0"/>
        <v>22</v>
      </c>
      <c r="X1" s="7">
        <f t="shared" si="0"/>
        <v>23</v>
      </c>
      <c r="Y1" s="7">
        <f t="shared" si="0"/>
        <v>24</v>
      </c>
      <c r="Z1" s="7">
        <f t="shared" si="0"/>
        <v>25</v>
      </c>
      <c r="AA1" s="7">
        <f t="shared" si="0"/>
        <v>26</v>
      </c>
      <c r="AB1" s="7">
        <f t="shared" si="0"/>
        <v>27</v>
      </c>
      <c r="AC1" s="7">
        <f t="shared" si="0"/>
        <v>28</v>
      </c>
      <c r="AD1" s="7">
        <f t="shared" si="0"/>
        <v>29</v>
      </c>
      <c r="AE1" s="7">
        <f t="shared" si="0"/>
        <v>30</v>
      </c>
    </row>
    <row r="2" spans="2:34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G2" t="s">
        <v>16</v>
      </c>
      <c r="AH2" t="s">
        <v>84</v>
      </c>
    </row>
    <row r="3" spans="2:34" x14ac:dyDescent="0.25">
      <c r="B3" s="7">
        <f>B2+1</f>
        <v>2</v>
      </c>
      <c r="C3" s="7" t="s">
        <v>16</v>
      </c>
      <c r="D3" s="7" t="s">
        <v>85</v>
      </c>
      <c r="E3" s="7" t="s">
        <v>85</v>
      </c>
      <c r="F3" s="7" t="s">
        <v>85</v>
      </c>
      <c r="G3" s="7" t="s">
        <v>85</v>
      </c>
      <c r="H3" s="7" t="s">
        <v>85</v>
      </c>
      <c r="I3" s="7" t="s">
        <v>85</v>
      </c>
      <c r="J3" s="7" t="s">
        <v>85</v>
      </c>
      <c r="K3" s="7" t="s">
        <v>85</v>
      </c>
      <c r="L3" s="7" t="s">
        <v>85</v>
      </c>
      <c r="M3" s="7" t="s">
        <v>85</v>
      </c>
      <c r="N3" s="7" t="s">
        <v>85</v>
      </c>
      <c r="O3" s="7" t="s">
        <v>85</v>
      </c>
      <c r="P3" s="7" t="s">
        <v>85</v>
      </c>
      <c r="Q3" s="7" t="s">
        <v>87</v>
      </c>
      <c r="R3" s="7" t="s">
        <v>89</v>
      </c>
      <c r="S3" s="7" t="s">
        <v>85</v>
      </c>
      <c r="T3" s="7" t="s">
        <v>85</v>
      </c>
      <c r="U3" s="7" t="s">
        <v>85</v>
      </c>
      <c r="V3" s="7" t="s">
        <v>85</v>
      </c>
      <c r="W3" s="7" t="s">
        <v>85</v>
      </c>
      <c r="X3" s="7" t="s">
        <v>85</v>
      </c>
      <c r="Y3" s="7" t="s">
        <v>85</v>
      </c>
      <c r="Z3" s="7" t="s">
        <v>85</v>
      </c>
      <c r="AA3" s="7" t="s">
        <v>85</v>
      </c>
      <c r="AB3" s="7" t="s">
        <v>85</v>
      </c>
      <c r="AC3" s="7" t="s">
        <v>85</v>
      </c>
      <c r="AD3" s="7" t="s">
        <v>85</v>
      </c>
      <c r="AE3" s="7" t="s">
        <v>16</v>
      </c>
      <c r="AG3" t="s">
        <v>85</v>
      </c>
      <c r="AH3" t="s">
        <v>86</v>
      </c>
    </row>
    <row r="4" spans="2:34" x14ac:dyDescent="0.25">
      <c r="B4" s="7">
        <f t="shared" ref="B4:B32" si="1">B3+1</f>
        <v>3</v>
      </c>
      <c r="C4" s="7" t="s">
        <v>16</v>
      </c>
      <c r="D4" s="7" t="s">
        <v>85</v>
      </c>
      <c r="E4" s="7" t="s">
        <v>85</v>
      </c>
      <c r="F4" s="7" t="s">
        <v>85</v>
      </c>
      <c r="G4" s="7" t="s">
        <v>85</v>
      </c>
      <c r="H4" s="7" t="s">
        <v>85</v>
      </c>
      <c r="I4" s="7" t="s">
        <v>85</v>
      </c>
      <c r="J4" s="7" t="s">
        <v>85</v>
      </c>
      <c r="K4" s="7" t="s">
        <v>85</v>
      </c>
      <c r="L4" s="7" t="s">
        <v>85</v>
      </c>
      <c r="M4" s="7" t="s">
        <v>85</v>
      </c>
      <c r="N4" s="7" t="s">
        <v>85</v>
      </c>
      <c r="O4" s="7" t="s">
        <v>85</v>
      </c>
      <c r="P4" s="7" t="s">
        <v>85</v>
      </c>
      <c r="Q4" s="7" t="s">
        <v>87</v>
      </c>
      <c r="R4" s="7" t="s">
        <v>89</v>
      </c>
      <c r="S4" s="7" t="s">
        <v>85</v>
      </c>
      <c r="T4" s="7" t="s">
        <v>85</v>
      </c>
      <c r="U4" s="7" t="s">
        <v>85</v>
      </c>
      <c r="V4" s="7" t="s">
        <v>85</v>
      </c>
      <c r="W4" s="7" t="s">
        <v>85</v>
      </c>
      <c r="X4" s="7" t="s">
        <v>85</v>
      </c>
      <c r="Y4" s="7" t="s">
        <v>85</v>
      </c>
      <c r="Z4" s="7" t="s">
        <v>85</v>
      </c>
      <c r="AA4" s="7" t="s">
        <v>85</v>
      </c>
      <c r="AB4" s="7" t="s">
        <v>85</v>
      </c>
      <c r="AC4" s="7" t="s">
        <v>85</v>
      </c>
      <c r="AD4" s="7" t="s">
        <v>85</v>
      </c>
      <c r="AE4" s="7" t="s">
        <v>16</v>
      </c>
      <c r="AG4" t="s">
        <v>87</v>
      </c>
      <c r="AH4" t="s">
        <v>88</v>
      </c>
    </row>
    <row r="5" spans="2:34" x14ac:dyDescent="0.25">
      <c r="B5" s="7">
        <f t="shared" si="1"/>
        <v>4</v>
      </c>
      <c r="C5" s="7" t="s">
        <v>16</v>
      </c>
      <c r="D5" s="7" t="s">
        <v>85</v>
      </c>
      <c r="E5" s="7" t="s">
        <v>85</v>
      </c>
      <c r="F5" s="7" t="s">
        <v>85</v>
      </c>
      <c r="G5" s="7" t="s">
        <v>85</v>
      </c>
      <c r="H5" s="7" t="s">
        <v>85</v>
      </c>
      <c r="I5" s="7" t="s">
        <v>85</v>
      </c>
      <c r="J5" s="7" t="s">
        <v>85</v>
      </c>
      <c r="K5" s="7" t="s">
        <v>85</v>
      </c>
      <c r="L5" s="7" t="s">
        <v>85</v>
      </c>
      <c r="M5" s="7" t="s">
        <v>85</v>
      </c>
      <c r="N5" s="7" t="s">
        <v>85</v>
      </c>
      <c r="O5" s="7" t="s">
        <v>85</v>
      </c>
      <c r="P5" s="7" t="s">
        <v>85</v>
      </c>
      <c r="Q5" s="7" t="s">
        <v>87</v>
      </c>
      <c r="R5" s="7" t="s">
        <v>89</v>
      </c>
      <c r="S5" s="7" t="s">
        <v>85</v>
      </c>
      <c r="T5" s="7" t="s">
        <v>85</v>
      </c>
      <c r="U5" s="7" t="s">
        <v>85</v>
      </c>
      <c r="V5" s="7" t="s">
        <v>85</v>
      </c>
      <c r="W5" s="7" t="s">
        <v>85</v>
      </c>
      <c r="X5" s="7" t="s">
        <v>85</v>
      </c>
      <c r="Y5" s="7" t="s">
        <v>85</v>
      </c>
      <c r="Z5" s="7" t="s">
        <v>85</v>
      </c>
      <c r="AA5" s="7" t="s">
        <v>85</v>
      </c>
      <c r="AB5" s="7" t="s">
        <v>85</v>
      </c>
      <c r="AC5" s="7" t="s">
        <v>85</v>
      </c>
      <c r="AD5" s="7" t="s">
        <v>85</v>
      </c>
      <c r="AE5" s="7" t="s">
        <v>16</v>
      </c>
      <c r="AG5" t="s">
        <v>89</v>
      </c>
      <c r="AH5" t="s">
        <v>90</v>
      </c>
    </row>
    <row r="6" spans="2:34" x14ac:dyDescent="0.25">
      <c r="B6" s="7">
        <f t="shared" si="1"/>
        <v>5</v>
      </c>
      <c r="C6" s="7" t="s">
        <v>16</v>
      </c>
      <c r="D6" s="7" t="s">
        <v>85</v>
      </c>
      <c r="E6" s="7" t="s">
        <v>85</v>
      </c>
      <c r="F6" s="7" t="s">
        <v>85</v>
      </c>
      <c r="G6" s="7" t="s">
        <v>85</v>
      </c>
      <c r="H6" s="7" t="s">
        <v>85</v>
      </c>
      <c r="I6" s="7" t="s">
        <v>85</v>
      </c>
      <c r="J6" s="7" t="s">
        <v>85</v>
      </c>
      <c r="K6" s="7" t="s">
        <v>85</v>
      </c>
      <c r="L6" s="7" t="s">
        <v>85</v>
      </c>
      <c r="M6" s="7" t="s">
        <v>85</v>
      </c>
      <c r="N6" s="7" t="s">
        <v>85</v>
      </c>
      <c r="O6" s="7" t="s">
        <v>85</v>
      </c>
      <c r="P6" s="7" t="s">
        <v>85</v>
      </c>
      <c r="Q6" s="7" t="s">
        <v>87</v>
      </c>
      <c r="R6" s="7" t="s">
        <v>89</v>
      </c>
      <c r="S6" s="7" t="s">
        <v>85</v>
      </c>
      <c r="T6" s="7" t="s">
        <v>85</v>
      </c>
      <c r="U6" s="7" t="s">
        <v>85</v>
      </c>
      <c r="V6" s="7" t="s">
        <v>85</v>
      </c>
      <c r="W6" s="7" t="s">
        <v>85</v>
      </c>
      <c r="X6" s="7" t="s">
        <v>85</v>
      </c>
      <c r="Y6" s="7" t="s">
        <v>85</v>
      </c>
      <c r="Z6" s="7" t="s">
        <v>85</v>
      </c>
      <c r="AA6" s="7" t="s">
        <v>85</v>
      </c>
      <c r="AB6" s="7" t="s">
        <v>85</v>
      </c>
      <c r="AC6" s="7" t="s">
        <v>85</v>
      </c>
      <c r="AD6" s="7" t="s">
        <v>85</v>
      </c>
      <c r="AE6" s="7" t="s">
        <v>16</v>
      </c>
      <c r="AG6" t="s">
        <v>91</v>
      </c>
      <c r="AH6" t="s">
        <v>92</v>
      </c>
    </row>
    <row r="7" spans="2:34" x14ac:dyDescent="0.25">
      <c r="B7" s="7">
        <f t="shared" si="1"/>
        <v>6</v>
      </c>
      <c r="C7" s="7" t="s">
        <v>16</v>
      </c>
      <c r="D7" s="7" t="s">
        <v>85</v>
      </c>
      <c r="E7" s="7" t="s">
        <v>85</v>
      </c>
      <c r="F7" s="7" t="s">
        <v>85</v>
      </c>
      <c r="G7" s="7" t="s">
        <v>85</v>
      </c>
      <c r="H7" s="7" t="s">
        <v>85</v>
      </c>
      <c r="I7" s="7" t="s">
        <v>85</v>
      </c>
      <c r="J7" s="7" t="s">
        <v>85</v>
      </c>
      <c r="K7" s="7" t="s">
        <v>85</v>
      </c>
      <c r="L7" s="7" t="s">
        <v>85</v>
      </c>
      <c r="M7" s="7" t="s">
        <v>85</v>
      </c>
      <c r="N7" s="7" t="s">
        <v>85</v>
      </c>
      <c r="O7" s="7" t="s">
        <v>85</v>
      </c>
      <c r="P7" s="7" t="s">
        <v>85</v>
      </c>
      <c r="Q7" s="7" t="s">
        <v>87</v>
      </c>
      <c r="R7" s="7" t="s">
        <v>89</v>
      </c>
      <c r="S7" s="7" t="s">
        <v>85</v>
      </c>
      <c r="T7" s="7" t="s">
        <v>85</v>
      </c>
      <c r="U7" s="7" t="s">
        <v>85</v>
      </c>
      <c r="V7" s="7" t="s">
        <v>85</v>
      </c>
      <c r="W7" s="7" t="s">
        <v>85</v>
      </c>
      <c r="X7" s="7" t="s">
        <v>85</v>
      </c>
      <c r="Y7" s="7" t="s">
        <v>85</v>
      </c>
      <c r="Z7" s="7" t="s">
        <v>85</v>
      </c>
      <c r="AA7" s="7" t="s">
        <v>85</v>
      </c>
      <c r="AB7" s="7" t="s">
        <v>85</v>
      </c>
      <c r="AC7" s="7" t="s">
        <v>85</v>
      </c>
      <c r="AD7" s="7" t="s">
        <v>85</v>
      </c>
      <c r="AE7" s="7" t="s">
        <v>16</v>
      </c>
    </row>
    <row r="8" spans="2:34" x14ac:dyDescent="0.25">
      <c r="B8" s="7">
        <f t="shared" si="1"/>
        <v>7</v>
      </c>
      <c r="C8" s="7" t="s">
        <v>16</v>
      </c>
      <c r="D8" s="7" t="s">
        <v>85</v>
      </c>
      <c r="E8" s="7" t="s">
        <v>85</v>
      </c>
      <c r="F8" s="7" t="s">
        <v>85</v>
      </c>
      <c r="G8" s="7" t="s">
        <v>85</v>
      </c>
      <c r="H8" s="7" t="s">
        <v>85</v>
      </c>
      <c r="I8" s="7" t="s">
        <v>85</v>
      </c>
      <c r="J8" s="7" t="s">
        <v>85</v>
      </c>
      <c r="K8" s="7" t="s">
        <v>85</v>
      </c>
      <c r="L8" s="7" t="s">
        <v>85</v>
      </c>
      <c r="M8" s="7" t="s">
        <v>85</v>
      </c>
      <c r="N8" s="7" t="s">
        <v>85</v>
      </c>
      <c r="O8" s="7" t="s">
        <v>85</v>
      </c>
      <c r="P8" s="7" t="s">
        <v>85</v>
      </c>
      <c r="Q8" s="7" t="s">
        <v>87</v>
      </c>
      <c r="R8" s="7" t="s">
        <v>89</v>
      </c>
      <c r="S8" s="7" t="s">
        <v>85</v>
      </c>
      <c r="T8" s="7" t="s">
        <v>85</v>
      </c>
      <c r="U8" s="7" t="s">
        <v>85</v>
      </c>
      <c r="V8" s="7" t="s">
        <v>85</v>
      </c>
      <c r="W8" s="7" t="s">
        <v>85</v>
      </c>
      <c r="X8" s="7" t="s">
        <v>85</v>
      </c>
      <c r="Y8" s="7" t="s">
        <v>85</v>
      </c>
      <c r="Z8" s="7" t="s">
        <v>85</v>
      </c>
      <c r="AA8" s="7" t="s">
        <v>85</v>
      </c>
      <c r="AB8" s="7" t="s">
        <v>85</v>
      </c>
      <c r="AC8" s="7" t="s">
        <v>85</v>
      </c>
      <c r="AD8" s="7" t="s">
        <v>85</v>
      </c>
      <c r="AE8" s="7" t="s">
        <v>16</v>
      </c>
    </row>
    <row r="9" spans="2:34" x14ac:dyDescent="0.25">
      <c r="B9" s="7">
        <f t="shared" si="1"/>
        <v>8</v>
      </c>
      <c r="C9" s="7" t="s">
        <v>16</v>
      </c>
      <c r="D9" s="7" t="s">
        <v>85</v>
      </c>
      <c r="E9" s="7" t="s">
        <v>85</v>
      </c>
      <c r="F9" s="7" t="s">
        <v>85</v>
      </c>
      <c r="G9" s="7" t="s">
        <v>85</v>
      </c>
      <c r="H9" s="7" t="s">
        <v>85</v>
      </c>
      <c r="I9" s="7" t="s">
        <v>85</v>
      </c>
      <c r="J9" s="7" t="s">
        <v>85</v>
      </c>
      <c r="K9" s="7" t="s">
        <v>89</v>
      </c>
      <c r="L9" s="7" t="s">
        <v>89</v>
      </c>
      <c r="M9" s="7" t="s">
        <v>89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85</v>
      </c>
      <c r="AA9" s="7" t="s">
        <v>85</v>
      </c>
      <c r="AB9" s="7" t="s">
        <v>85</v>
      </c>
      <c r="AC9" s="7" t="s">
        <v>85</v>
      </c>
      <c r="AD9" s="7" t="s">
        <v>85</v>
      </c>
      <c r="AE9" s="7" t="s">
        <v>16</v>
      </c>
    </row>
    <row r="10" spans="2:34" x14ac:dyDescent="0.25">
      <c r="B10" s="7">
        <f t="shared" si="1"/>
        <v>9</v>
      </c>
      <c r="C10" s="7" t="s">
        <v>16</v>
      </c>
      <c r="D10" s="7" t="s">
        <v>85</v>
      </c>
      <c r="E10" s="7" t="s">
        <v>85</v>
      </c>
      <c r="F10" s="7" t="s">
        <v>85</v>
      </c>
      <c r="G10" s="7" t="s">
        <v>85</v>
      </c>
      <c r="H10" s="7" t="s">
        <v>85</v>
      </c>
      <c r="I10" s="7" t="s">
        <v>85</v>
      </c>
      <c r="J10" s="7" t="s">
        <v>85</v>
      </c>
      <c r="K10" s="7" t="s">
        <v>89</v>
      </c>
      <c r="L10" s="7" t="s">
        <v>85</v>
      </c>
      <c r="M10" s="7" t="s">
        <v>85</v>
      </c>
      <c r="N10" s="7" t="s">
        <v>85</v>
      </c>
      <c r="O10" s="7" t="s">
        <v>85</v>
      </c>
      <c r="P10" s="7" t="s">
        <v>85</v>
      </c>
      <c r="Q10" s="7" t="s">
        <v>85</v>
      </c>
      <c r="R10" s="7" t="s">
        <v>85</v>
      </c>
      <c r="S10" s="7" t="s">
        <v>85</v>
      </c>
      <c r="T10" s="7" t="s">
        <v>85</v>
      </c>
      <c r="U10" s="7" t="s">
        <v>85</v>
      </c>
      <c r="V10" s="7" t="s">
        <v>85</v>
      </c>
      <c r="W10" s="7" t="s">
        <v>85</v>
      </c>
      <c r="X10" s="7" t="s">
        <v>85</v>
      </c>
      <c r="Y10" s="7" t="s">
        <v>89</v>
      </c>
      <c r="Z10" s="7" t="s">
        <v>85</v>
      </c>
      <c r="AA10" s="7" t="s">
        <v>85</v>
      </c>
      <c r="AB10" s="7" t="s">
        <v>85</v>
      </c>
      <c r="AC10" s="7" t="s">
        <v>85</v>
      </c>
      <c r="AD10" s="7" t="s">
        <v>85</v>
      </c>
      <c r="AE10" s="7" t="s">
        <v>16</v>
      </c>
    </row>
    <row r="11" spans="2:34" x14ac:dyDescent="0.25">
      <c r="B11" s="7">
        <f t="shared" si="1"/>
        <v>10</v>
      </c>
      <c r="C11" s="7" t="s">
        <v>16</v>
      </c>
      <c r="D11" s="7" t="s">
        <v>85</v>
      </c>
      <c r="E11" s="7" t="s">
        <v>85</v>
      </c>
      <c r="F11" s="7" t="s">
        <v>85</v>
      </c>
      <c r="G11" s="7" t="s">
        <v>85</v>
      </c>
      <c r="H11" s="7" t="s">
        <v>85</v>
      </c>
      <c r="I11" s="7" t="s">
        <v>85</v>
      </c>
      <c r="J11" s="7" t="s">
        <v>85</v>
      </c>
      <c r="K11" s="7" t="s">
        <v>89</v>
      </c>
      <c r="L11" s="7" t="s">
        <v>85</v>
      </c>
      <c r="M11" s="7" t="s">
        <v>85</v>
      </c>
      <c r="N11" s="7" t="s">
        <v>85</v>
      </c>
      <c r="O11" s="7" t="s">
        <v>85</v>
      </c>
      <c r="P11" s="7" t="s">
        <v>85</v>
      </c>
      <c r="Q11" s="7" t="s">
        <v>85</v>
      </c>
      <c r="R11" s="7" t="s">
        <v>85</v>
      </c>
      <c r="S11" s="7" t="s">
        <v>85</v>
      </c>
      <c r="T11" s="7" t="s">
        <v>85</v>
      </c>
      <c r="U11" s="7" t="s">
        <v>85</v>
      </c>
      <c r="V11" s="7" t="s">
        <v>85</v>
      </c>
      <c r="W11" s="7" t="s">
        <v>85</v>
      </c>
      <c r="X11" s="7" t="s">
        <v>85</v>
      </c>
      <c r="Y11" s="7" t="s">
        <v>89</v>
      </c>
      <c r="Z11" s="7" t="s">
        <v>85</v>
      </c>
      <c r="AA11" s="7" t="s">
        <v>85</v>
      </c>
      <c r="AB11" s="7" t="s">
        <v>85</v>
      </c>
      <c r="AC11" s="7" t="s">
        <v>85</v>
      </c>
      <c r="AD11" s="7" t="s">
        <v>85</v>
      </c>
      <c r="AE11" s="7" t="s">
        <v>16</v>
      </c>
    </row>
    <row r="12" spans="2:34" x14ac:dyDescent="0.25">
      <c r="B12" s="7">
        <f t="shared" si="1"/>
        <v>11</v>
      </c>
      <c r="C12" s="7" t="s">
        <v>16</v>
      </c>
      <c r="D12" s="7" t="s">
        <v>85</v>
      </c>
      <c r="E12" s="7" t="s">
        <v>85</v>
      </c>
      <c r="F12" s="7" t="s">
        <v>85</v>
      </c>
      <c r="G12" s="7" t="s">
        <v>85</v>
      </c>
      <c r="H12" s="7" t="s">
        <v>85</v>
      </c>
      <c r="I12" s="7" t="s">
        <v>85</v>
      </c>
      <c r="J12" s="7" t="s">
        <v>85</v>
      </c>
      <c r="K12" s="7" t="s">
        <v>16</v>
      </c>
      <c r="L12" s="7" t="s">
        <v>85</v>
      </c>
      <c r="M12" s="7" t="s">
        <v>85</v>
      </c>
      <c r="N12" s="7" t="s">
        <v>87</v>
      </c>
      <c r="O12" s="7" t="s">
        <v>87</v>
      </c>
      <c r="P12" s="7" t="s">
        <v>87</v>
      </c>
      <c r="Q12" s="7" t="s">
        <v>85</v>
      </c>
      <c r="R12" s="7" t="s">
        <v>85</v>
      </c>
      <c r="S12" s="7" t="s">
        <v>87</v>
      </c>
      <c r="T12" s="7" t="s">
        <v>87</v>
      </c>
      <c r="U12" s="7" t="s">
        <v>87</v>
      </c>
      <c r="V12" s="7" t="s">
        <v>87</v>
      </c>
      <c r="W12" s="7" t="s">
        <v>85</v>
      </c>
      <c r="X12" s="7" t="s">
        <v>85</v>
      </c>
      <c r="Y12" s="7" t="s">
        <v>89</v>
      </c>
      <c r="Z12" s="7" t="s">
        <v>85</v>
      </c>
      <c r="AA12" s="7" t="s">
        <v>85</v>
      </c>
      <c r="AB12" s="7" t="s">
        <v>85</v>
      </c>
      <c r="AC12" s="7" t="s">
        <v>85</v>
      </c>
      <c r="AD12" s="7" t="s">
        <v>85</v>
      </c>
      <c r="AE12" s="7" t="s">
        <v>16</v>
      </c>
    </row>
    <row r="13" spans="2:34" x14ac:dyDescent="0.25">
      <c r="B13" s="7">
        <f t="shared" si="1"/>
        <v>12</v>
      </c>
      <c r="C13" s="7" t="s">
        <v>16</v>
      </c>
      <c r="D13" s="7" t="s">
        <v>85</v>
      </c>
      <c r="E13" s="7" t="s">
        <v>85</v>
      </c>
      <c r="F13" s="7" t="s">
        <v>85</v>
      </c>
      <c r="G13" s="7" t="s">
        <v>85</v>
      </c>
      <c r="H13" s="7" t="s">
        <v>85</v>
      </c>
      <c r="I13" s="7" t="s">
        <v>85</v>
      </c>
      <c r="J13" s="7" t="s">
        <v>85</v>
      </c>
      <c r="K13" s="7" t="s">
        <v>16</v>
      </c>
      <c r="L13" s="7" t="s">
        <v>85</v>
      </c>
      <c r="M13" s="7" t="s">
        <v>85</v>
      </c>
      <c r="N13" s="7" t="s">
        <v>87</v>
      </c>
      <c r="O13" s="7" t="s">
        <v>89</v>
      </c>
      <c r="P13" s="7" t="s">
        <v>89</v>
      </c>
      <c r="Q13" s="7" t="s">
        <v>85</v>
      </c>
      <c r="R13" s="7" t="s">
        <v>85</v>
      </c>
      <c r="S13" s="7" t="s">
        <v>89</v>
      </c>
      <c r="T13" s="7" t="s">
        <v>89</v>
      </c>
      <c r="U13" s="7" t="s">
        <v>89</v>
      </c>
      <c r="V13" s="7" t="s">
        <v>87</v>
      </c>
      <c r="W13" s="7" t="s">
        <v>85</v>
      </c>
      <c r="X13" s="7" t="s">
        <v>85</v>
      </c>
      <c r="Y13" s="7" t="s">
        <v>89</v>
      </c>
      <c r="Z13" s="7" t="s">
        <v>85</v>
      </c>
      <c r="AA13" s="7" t="s">
        <v>85</v>
      </c>
      <c r="AB13" s="7" t="s">
        <v>85</v>
      </c>
      <c r="AC13" s="7" t="s">
        <v>85</v>
      </c>
      <c r="AD13" s="7" t="s">
        <v>85</v>
      </c>
      <c r="AE13" s="7" t="s">
        <v>16</v>
      </c>
    </row>
    <row r="14" spans="2:34" x14ac:dyDescent="0.25">
      <c r="B14" s="7">
        <f t="shared" si="1"/>
        <v>13</v>
      </c>
      <c r="C14" s="7" t="s">
        <v>16</v>
      </c>
      <c r="D14" s="7" t="s">
        <v>85</v>
      </c>
      <c r="E14" s="7" t="s">
        <v>85</v>
      </c>
      <c r="F14" s="7" t="s">
        <v>85</v>
      </c>
      <c r="G14" s="7" t="s">
        <v>85</v>
      </c>
      <c r="H14" s="7" t="s">
        <v>85</v>
      </c>
      <c r="I14" s="7" t="s">
        <v>85</v>
      </c>
      <c r="J14" s="7" t="s">
        <v>85</v>
      </c>
      <c r="K14" s="7" t="s">
        <v>16</v>
      </c>
      <c r="L14" s="7" t="s">
        <v>85</v>
      </c>
      <c r="M14" s="7" t="s">
        <v>85</v>
      </c>
      <c r="N14" s="7" t="s">
        <v>87</v>
      </c>
      <c r="O14" s="7" t="s">
        <v>89</v>
      </c>
      <c r="P14" s="7" t="s">
        <v>85</v>
      </c>
      <c r="Q14" s="7" t="s">
        <v>85</v>
      </c>
      <c r="R14" s="7" t="s">
        <v>85</v>
      </c>
      <c r="S14" s="7" t="s">
        <v>85</v>
      </c>
      <c r="T14" s="7" t="s">
        <v>85</v>
      </c>
      <c r="U14" s="7" t="s">
        <v>89</v>
      </c>
      <c r="V14" s="7" t="s">
        <v>87</v>
      </c>
      <c r="W14" s="7" t="s">
        <v>85</v>
      </c>
      <c r="X14" s="7" t="s">
        <v>85</v>
      </c>
      <c r="Y14" s="7" t="s">
        <v>89</v>
      </c>
      <c r="Z14" s="7" t="s">
        <v>85</v>
      </c>
      <c r="AA14" s="7" t="s">
        <v>85</v>
      </c>
      <c r="AB14" s="7" t="s">
        <v>85</v>
      </c>
      <c r="AC14" s="7" t="s">
        <v>85</v>
      </c>
      <c r="AD14" s="7" t="s">
        <v>85</v>
      </c>
      <c r="AE14" s="7" t="s">
        <v>16</v>
      </c>
    </row>
    <row r="15" spans="2:34" x14ac:dyDescent="0.25">
      <c r="B15" s="7">
        <f t="shared" si="1"/>
        <v>14</v>
      </c>
      <c r="C15" s="7" t="s">
        <v>16</v>
      </c>
      <c r="D15" s="7" t="s">
        <v>85</v>
      </c>
      <c r="E15" s="7" t="s">
        <v>85</v>
      </c>
      <c r="F15" s="7" t="s">
        <v>85</v>
      </c>
      <c r="G15" s="7" t="s">
        <v>85</v>
      </c>
      <c r="H15" s="7" t="s">
        <v>85</v>
      </c>
      <c r="I15" s="7" t="s">
        <v>85</v>
      </c>
      <c r="J15" s="7" t="s">
        <v>85</v>
      </c>
      <c r="K15" s="7" t="s">
        <v>16</v>
      </c>
      <c r="L15" s="7" t="s">
        <v>85</v>
      </c>
      <c r="M15" s="7" t="s">
        <v>85</v>
      </c>
      <c r="N15" s="7" t="s">
        <v>87</v>
      </c>
      <c r="O15" s="7" t="s">
        <v>89</v>
      </c>
      <c r="P15" s="7" t="s">
        <v>85</v>
      </c>
      <c r="Q15" s="7" t="s">
        <v>85</v>
      </c>
      <c r="R15" s="7" t="s">
        <v>85</v>
      </c>
      <c r="S15" s="7" t="s">
        <v>85</v>
      </c>
      <c r="T15" s="7" t="s">
        <v>85</v>
      </c>
      <c r="U15" s="7" t="s">
        <v>89</v>
      </c>
      <c r="V15" s="7" t="s">
        <v>87</v>
      </c>
      <c r="W15" s="7" t="s">
        <v>85</v>
      </c>
      <c r="X15" s="7" t="s">
        <v>85</v>
      </c>
      <c r="Y15" s="7" t="s">
        <v>16</v>
      </c>
      <c r="Z15" s="7" t="s">
        <v>85</v>
      </c>
      <c r="AA15" s="7" t="s">
        <v>85</v>
      </c>
      <c r="AB15" s="7" t="s">
        <v>85</v>
      </c>
      <c r="AC15" s="7" t="s">
        <v>85</v>
      </c>
      <c r="AD15" s="7" t="s">
        <v>85</v>
      </c>
      <c r="AE15" s="7" t="s">
        <v>16</v>
      </c>
    </row>
    <row r="16" spans="2:34" x14ac:dyDescent="0.25">
      <c r="B16" s="7">
        <f t="shared" si="1"/>
        <v>15</v>
      </c>
      <c r="C16" s="7" t="s">
        <v>16</v>
      </c>
      <c r="D16" s="7" t="s">
        <v>85</v>
      </c>
      <c r="E16" s="7" t="s">
        <v>85</v>
      </c>
      <c r="F16" s="7" t="s">
        <v>85</v>
      </c>
      <c r="G16" s="7" t="s">
        <v>85</v>
      </c>
      <c r="H16" s="7" t="s">
        <v>85</v>
      </c>
      <c r="I16" s="7" t="s">
        <v>85</v>
      </c>
      <c r="J16" s="7" t="s">
        <v>85</v>
      </c>
      <c r="K16" s="7" t="s">
        <v>16</v>
      </c>
      <c r="L16" s="7" t="s">
        <v>85</v>
      </c>
      <c r="M16" s="7" t="s">
        <v>85</v>
      </c>
      <c r="N16" s="7" t="s">
        <v>85</v>
      </c>
      <c r="O16" s="7" t="s">
        <v>85</v>
      </c>
      <c r="P16" s="7" t="s">
        <v>85</v>
      </c>
      <c r="Q16" s="7" t="s">
        <v>85</v>
      </c>
      <c r="R16" s="7" t="s">
        <v>85</v>
      </c>
      <c r="S16" s="7" t="s">
        <v>85</v>
      </c>
      <c r="T16" s="7" t="s">
        <v>85</v>
      </c>
      <c r="U16" s="7" t="s">
        <v>85</v>
      </c>
      <c r="V16" s="7" t="s">
        <v>85</v>
      </c>
      <c r="W16" s="7" t="s">
        <v>85</v>
      </c>
      <c r="X16" s="7" t="s">
        <v>85</v>
      </c>
      <c r="Y16" s="7" t="s">
        <v>16</v>
      </c>
      <c r="Z16" s="7" t="s">
        <v>89</v>
      </c>
      <c r="AA16" s="7" t="s">
        <v>89</v>
      </c>
      <c r="AB16" s="7" t="s">
        <v>89</v>
      </c>
      <c r="AC16" s="7" t="s">
        <v>89</v>
      </c>
      <c r="AD16" s="7" t="s">
        <v>89</v>
      </c>
      <c r="AE16" s="7" t="s">
        <v>16</v>
      </c>
    </row>
    <row r="17" spans="2:31" x14ac:dyDescent="0.25">
      <c r="B17" s="7">
        <f t="shared" si="1"/>
        <v>16</v>
      </c>
      <c r="C17" s="7" t="s">
        <v>16</v>
      </c>
      <c r="D17" s="7" t="s">
        <v>89</v>
      </c>
      <c r="E17" s="7" t="s">
        <v>89</v>
      </c>
      <c r="F17" s="7" t="s">
        <v>89</v>
      </c>
      <c r="G17" s="7" t="s">
        <v>89</v>
      </c>
      <c r="H17" s="7" t="s">
        <v>89</v>
      </c>
      <c r="I17" s="7" t="s">
        <v>89</v>
      </c>
      <c r="J17" s="7" t="s">
        <v>89</v>
      </c>
      <c r="K17" s="7" t="s">
        <v>16</v>
      </c>
      <c r="L17" s="7" t="s">
        <v>85</v>
      </c>
      <c r="M17" s="7" t="s">
        <v>85</v>
      </c>
      <c r="N17" s="7" t="s">
        <v>85</v>
      </c>
      <c r="O17" s="7" t="s">
        <v>85</v>
      </c>
      <c r="P17" s="7" t="s">
        <v>85</v>
      </c>
      <c r="Q17" s="7" t="s">
        <v>85</v>
      </c>
      <c r="R17" s="7" t="s">
        <v>85</v>
      </c>
      <c r="S17" s="7" t="s">
        <v>85</v>
      </c>
      <c r="T17" s="7" t="s">
        <v>85</v>
      </c>
      <c r="U17" s="7" t="s">
        <v>85</v>
      </c>
      <c r="V17" s="7" t="s">
        <v>85</v>
      </c>
      <c r="W17" s="7" t="s">
        <v>85</v>
      </c>
      <c r="X17" s="7" t="s">
        <v>85</v>
      </c>
      <c r="Y17" s="7" t="s">
        <v>16</v>
      </c>
      <c r="Z17" s="7" t="s">
        <v>85</v>
      </c>
      <c r="AA17" s="7" t="s">
        <v>85</v>
      </c>
      <c r="AB17" s="7" t="s">
        <v>85</v>
      </c>
      <c r="AC17" s="7" t="s">
        <v>85</v>
      </c>
      <c r="AD17" s="7" t="s">
        <v>85</v>
      </c>
      <c r="AE17" s="7" t="s">
        <v>16</v>
      </c>
    </row>
    <row r="18" spans="2:31" x14ac:dyDescent="0.25">
      <c r="B18" s="7">
        <f t="shared" si="1"/>
        <v>17</v>
      </c>
      <c r="C18" s="7" t="s">
        <v>16</v>
      </c>
      <c r="D18" s="7" t="s">
        <v>85</v>
      </c>
      <c r="E18" s="7" t="s">
        <v>85</v>
      </c>
      <c r="F18" s="7" t="s">
        <v>85</v>
      </c>
      <c r="G18" s="7" t="s">
        <v>85</v>
      </c>
      <c r="H18" s="7" t="s">
        <v>85</v>
      </c>
      <c r="I18" s="7" t="s">
        <v>85</v>
      </c>
      <c r="J18" s="7" t="s">
        <v>85</v>
      </c>
      <c r="K18" s="7" t="s">
        <v>16</v>
      </c>
      <c r="L18" s="7" t="s">
        <v>85</v>
      </c>
      <c r="M18" s="7" t="s">
        <v>85</v>
      </c>
      <c r="N18" s="7" t="s">
        <v>85</v>
      </c>
      <c r="O18" s="7" t="s">
        <v>85</v>
      </c>
      <c r="P18" s="7" t="s">
        <v>85</v>
      </c>
      <c r="Q18" s="7" t="s">
        <v>85</v>
      </c>
      <c r="R18" s="7" t="s">
        <v>85</v>
      </c>
      <c r="S18" s="7" t="s">
        <v>85</v>
      </c>
      <c r="T18" s="7" t="s">
        <v>85</v>
      </c>
      <c r="U18" s="7" t="s">
        <v>89</v>
      </c>
      <c r="V18" s="7" t="s">
        <v>87</v>
      </c>
      <c r="W18" s="7" t="s">
        <v>85</v>
      </c>
      <c r="X18" s="7" t="s">
        <v>85</v>
      </c>
      <c r="Y18" s="7" t="s">
        <v>16</v>
      </c>
      <c r="Z18" s="7" t="s">
        <v>85</v>
      </c>
      <c r="AA18" s="7" t="s">
        <v>85</v>
      </c>
      <c r="AB18" s="7" t="s">
        <v>85</v>
      </c>
      <c r="AC18" s="7" t="s">
        <v>85</v>
      </c>
      <c r="AD18" s="7" t="s">
        <v>85</v>
      </c>
      <c r="AE18" s="7" t="s">
        <v>16</v>
      </c>
    </row>
    <row r="19" spans="2:31" x14ac:dyDescent="0.25">
      <c r="B19" s="7">
        <f t="shared" si="1"/>
        <v>18</v>
      </c>
      <c r="C19" s="7" t="s">
        <v>16</v>
      </c>
      <c r="D19" s="7" t="s">
        <v>85</v>
      </c>
      <c r="E19" s="7" t="s">
        <v>85</v>
      </c>
      <c r="F19" s="7" t="s">
        <v>85</v>
      </c>
      <c r="G19" s="7" t="s">
        <v>85</v>
      </c>
      <c r="H19" s="7" t="s">
        <v>85</v>
      </c>
      <c r="I19" s="7" t="s">
        <v>85</v>
      </c>
      <c r="J19" s="7" t="s">
        <v>85</v>
      </c>
      <c r="K19" s="7" t="s">
        <v>16</v>
      </c>
      <c r="L19" s="7" t="s">
        <v>85</v>
      </c>
      <c r="M19" s="7" t="s">
        <v>85</v>
      </c>
      <c r="N19" s="7" t="s">
        <v>85</v>
      </c>
      <c r="O19" s="7" t="s">
        <v>85</v>
      </c>
      <c r="P19" s="7" t="s">
        <v>85</v>
      </c>
      <c r="Q19" s="7" t="s">
        <v>85</v>
      </c>
      <c r="R19" s="7" t="s">
        <v>85</v>
      </c>
      <c r="S19" s="7" t="s">
        <v>85</v>
      </c>
      <c r="T19" s="7" t="s">
        <v>85</v>
      </c>
      <c r="U19" s="7" t="s">
        <v>89</v>
      </c>
      <c r="V19" s="7" t="s">
        <v>87</v>
      </c>
      <c r="W19" s="7" t="s">
        <v>85</v>
      </c>
      <c r="X19" s="7" t="s">
        <v>85</v>
      </c>
      <c r="Y19" s="7" t="s">
        <v>16</v>
      </c>
      <c r="Z19" s="7" t="s">
        <v>85</v>
      </c>
      <c r="AA19" s="7" t="s">
        <v>85</v>
      </c>
      <c r="AB19" s="7" t="s">
        <v>85</v>
      </c>
      <c r="AC19" s="7" t="s">
        <v>85</v>
      </c>
      <c r="AD19" s="7" t="s">
        <v>85</v>
      </c>
      <c r="AE19" s="7" t="s">
        <v>16</v>
      </c>
    </row>
    <row r="20" spans="2:31" x14ac:dyDescent="0.25">
      <c r="B20" s="7">
        <f t="shared" si="1"/>
        <v>19</v>
      </c>
      <c r="C20" s="7" t="s">
        <v>16</v>
      </c>
      <c r="D20" s="7" t="s">
        <v>85</v>
      </c>
      <c r="E20" s="7" t="s">
        <v>85</v>
      </c>
      <c r="F20" s="7" t="s">
        <v>85</v>
      </c>
      <c r="G20" s="7" t="s">
        <v>85</v>
      </c>
      <c r="H20" s="7" t="s">
        <v>85</v>
      </c>
      <c r="I20" s="7" t="s">
        <v>85</v>
      </c>
      <c r="J20" s="7" t="s">
        <v>85</v>
      </c>
      <c r="K20" s="7" t="s">
        <v>16</v>
      </c>
      <c r="L20" s="7" t="s">
        <v>85</v>
      </c>
      <c r="M20" s="7" t="s">
        <v>85</v>
      </c>
      <c r="N20" s="7" t="s">
        <v>87</v>
      </c>
      <c r="O20" s="7" t="s">
        <v>89</v>
      </c>
      <c r="P20" s="7" t="s">
        <v>85</v>
      </c>
      <c r="Q20" s="7" t="s">
        <v>85</v>
      </c>
      <c r="R20" s="7" t="s">
        <v>85</v>
      </c>
      <c r="S20" s="7" t="s">
        <v>85</v>
      </c>
      <c r="T20" s="7" t="s">
        <v>85</v>
      </c>
      <c r="U20" s="7" t="s">
        <v>89</v>
      </c>
      <c r="V20" s="7" t="s">
        <v>87</v>
      </c>
      <c r="W20" s="7" t="s">
        <v>85</v>
      </c>
      <c r="X20" s="7" t="s">
        <v>85</v>
      </c>
      <c r="Y20" s="7" t="s">
        <v>16</v>
      </c>
      <c r="Z20" s="7" t="s">
        <v>85</v>
      </c>
      <c r="AA20" s="7" t="s">
        <v>85</v>
      </c>
      <c r="AB20" s="7" t="s">
        <v>85</v>
      </c>
      <c r="AC20" s="7" t="s">
        <v>85</v>
      </c>
      <c r="AD20" s="7" t="s">
        <v>85</v>
      </c>
      <c r="AE20" s="7" t="s">
        <v>16</v>
      </c>
    </row>
    <row r="21" spans="2:31" x14ac:dyDescent="0.25">
      <c r="B21" s="7">
        <f t="shared" si="1"/>
        <v>20</v>
      </c>
      <c r="C21" s="7" t="s">
        <v>16</v>
      </c>
      <c r="D21" s="7" t="s">
        <v>85</v>
      </c>
      <c r="E21" s="7" t="s">
        <v>85</v>
      </c>
      <c r="F21" s="7" t="s">
        <v>85</v>
      </c>
      <c r="G21" s="7" t="s">
        <v>85</v>
      </c>
      <c r="H21" s="7" t="s">
        <v>85</v>
      </c>
      <c r="I21" s="7" t="s">
        <v>85</v>
      </c>
      <c r="J21" s="7" t="s">
        <v>85</v>
      </c>
      <c r="K21" s="7" t="s">
        <v>16</v>
      </c>
      <c r="L21" s="7" t="s">
        <v>85</v>
      </c>
      <c r="M21" s="7" t="s">
        <v>85</v>
      </c>
      <c r="N21" s="7" t="s">
        <v>87</v>
      </c>
      <c r="O21" s="7" t="s">
        <v>89</v>
      </c>
      <c r="P21" s="7" t="s">
        <v>85</v>
      </c>
      <c r="Q21" s="7" t="s">
        <v>85</v>
      </c>
      <c r="R21" s="7" t="s">
        <v>89</v>
      </c>
      <c r="S21" s="7" t="s">
        <v>89</v>
      </c>
      <c r="T21" s="7" t="s">
        <v>89</v>
      </c>
      <c r="U21" s="7" t="s">
        <v>89</v>
      </c>
      <c r="V21" s="7" t="s">
        <v>87</v>
      </c>
      <c r="W21" s="7" t="s">
        <v>85</v>
      </c>
      <c r="X21" s="7" t="s">
        <v>85</v>
      </c>
      <c r="Y21" s="7" t="s">
        <v>16</v>
      </c>
      <c r="Z21" s="7" t="s">
        <v>85</v>
      </c>
      <c r="AA21" s="7" t="s">
        <v>85</v>
      </c>
      <c r="AB21" s="7" t="s">
        <v>85</v>
      </c>
      <c r="AC21" s="7" t="s">
        <v>85</v>
      </c>
      <c r="AD21" s="7" t="s">
        <v>85</v>
      </c>
      <c r="AE21" s="7" t="s">
        <v>16</v>
      </c>
    </row>
    <row r="22" spans="2:31" x14ac:dyDescent="0.25">
      <c r="B22" s="7">
        <f t="shared" si="1"/>
        <v>21</v>
      </c>
      <c r="C22" s="7" t="s">
        <v>16</v>
      </c>
      <c r="D22" s="7" t="s">
        <v>85</v>
      </c>
      <c r="E22" s="7" t="s">
        <v>85</v>
      </c>
      <c r="F22" s="7" t="s">
        <v>85</v>
      </c>
      <c r="G22" s="7" t="s">
        <v>85</v>
      </c>
      <c r="H22" s="7" t="s">
        <v>85</v>
      </c>
      <c r="I22" s="7" t="s">
        <v>85</v>
      </c>
      <c r="J22" s="7" t="s">
        <v>85</v>
      </c>
      <c r="K22" s="7" t="s">
        <v>16</v>
      </c>
      <c r="L22" s="7" t="s">
        <v>85</v>
      </c>
      <c r="M22" s="7" t="s">
        <v>85</v>
      </c>
      <c r="N22" s="7" t="s">
        <v>87</v>
      </c>
      <c r="O22" s="7" t="s">
        <v>87</v>
      </c>
      <c r="P22" s="7" t="s">
        <v>85</v>
      </c>
      <c r="Q22" s="7" t="s">
        <v>85</v>
      </c>
      <c r="R22" s="7" t="s">
        <v>87</v>
      </c>
      <c r="S22" s="7" t="s">
        <v>87</v>
      </c>
      <c r="T22" s="7" t="s">
        <v>87</v>
      </c>
      <c r="U22" s="7" t="s">
        <v>87</v>
      </c>
      <c r="V22" s="7" t="s">
        <v>87</v>
      </c>
      <c r="W22" s="7" t="s">
        <v>85</v>
      </c>
      <c r="X22" s="7" t="s">
        <v>85</v>
      </c>
      <c r="Y22" s="7" t="s">
        <v>16</v>
      </c>
      <c r="Z22" s="7" t="s">
        <v>85</v>
      </c>
      <c r="AA22" s="7" t="s">
        <v>85</v>
      </c>
      <c r="AB22" s="7" t="s">
        <v>85</v>
      </c>
      <c r="AC22" s="7" t="s">
        <v>85</v>
      </c>
      <c r="AD22" s="7" t="s">
        <v>85</v>
      </c>
      <c r="AE22" s="7" t="s">
        <v>16</v>
      </c>
    </row>
    <row r="23" spans="2:31" x14ac:dyDescent="0.25">
      <c r="B23" s="7">
        <f t="shared" si="1"/>
        <v>22</v>
      </c>
      <c r="C23" s="7" t="s">
        <v>16</v>
      </c>
      <c r="D23" s="7" t="s">
        <v>85</v>
      </c>
      <c r="E23" s="7" t="s">
        <v>85</v>
      </c>
      <c r="F23" s="7" t="s">
        <v>85</v>
      </c>
      <c r="G23" s="7" t="s">
        <v>85</v>
      </c>
      <c r="H23" s="7" t="s">
        <v>85</v>
      </c>
      <c r="I23" s="7" t="s">
        <v>85</v>
      </c>
      <c r="J23" s="7" t="s">
        <v>85</v>
      </c>
      <c r="K23" s="7" t="s">
        <v>16</v>
      </c>
      <c r="L23" s="7" t="s">
        <v>85</v>
      </c>
      <c r="M23" s="7" t="s">
        <v>85</v>
      </c>
      <c r="N23" s="7" t="s">
        <v>85</v>
      </c>
      <c r="O23" s="7" t="s">
        <v>85</v>
      </c>
      <c r="P23" s="7" t="s">
        <v>85</v>
      </c>
      <c r="Q23" s="7" t="s">
        <v>85</v>
      </c>
      <c r="R23" s="7" t="s">
        <v>85</v>
      </c>
      <c r="S23" s="7" t="s">
        <v>85</v>
      </c>
      <c r="T23" s="7" t="s">
        <v>85</v>
      </c>
      <c r="U23" s="7" t="s">
        <v>85</v>
      </c>
      <c r="V23" s="7" t="s">
        <v>85</v>
      </c>
      <c r="W23" s="7" t="s">
        <v>85</v>
      </c>
      <c r="X23" s="7" t="s">
        <v>85</v>
      </c>
      <c r="Y23" s="7" t="s">
        <v>16</v>
      </c>
      <c r="Z23" s="7" t="s">
        <v>85</v>
      </c>
      <c r="AA23" s="7" t="s">
        <v>85</v>
      </c>
      <c r="AB23" s="7" t="s">
        <v>85</v>
      </c>
      <c r="AC23" s="7" t="s">
        <v>85</v>
      </c>
      <c r="AD23" s="7" t="s">
        <v>85</v>
      </c>
      <c r="AE23" s="7" t="s">
        <v>16</v>
      </c>
    </row>
    <row r="24" spans="2:31" x14ac:dyDescent="0.25">
      <c r="B24" s="7">
        <f t="shared" si="1"/>
        <v>23</v>
      </c>
      <c r="C24" s="7" t="s">
        <v>16</v>
      </c>
      <c r="D24" s="7" t="s">
        <v>85</v>
      </c>
      <c r="E24" s="7" t="s">
        <v>85</v>
      </c>
      <c r="F24" s="7" t="s">
        <v>85</v>
      </c>
      <c r="G24" s="7" t="s">
        <v>85</v>
      </c>
      <c r="H24" s="7" t="s">
        <v>85</v>
      </c>
      <c r="I24" s="7" t="s">
        <v>85</v>
      </c>
      <c r="J24" s="7" t="s">
        <v>85</v>
      </c>
      <c r="K24" s="7" t="s">
        <v>16</v>
      </c>
      <c r="L24" s="7" t="s">
        <v>85</v>
      </c>
      <c r="M24" s="7" t="s">
        <v>85</v>
      </c>
      <c r="N24" s="7" t="s">
        <v>85</v>
      </c>
      <c r="O24" s="7" t="s">
        <v>85</v>
      </c>
      <c r="P24" s="7" t="s">
        <v>85</v>
      </c>
      <c r="Q24" s="7" t="s">
        <v>85</v>
      </c>
      <c r="R24" s="7" t="s">
        <v>85</v>
      </c>
      <c r="S24" s="7" t="s">
        <v>85</v>
      </c>
      <c r="T24" s="7" t="s">
        <v>85</v>
      </c>
      <c r="U24" s="7" t="s">
        <v>85</v>
      </c>
      <c r="V24" s="7" t="s">
        <v>85</v>
      </c>
      <c r="W24" s="7" t="s">
        <v>85</v>
      </c>
      <c r="X24" s="7" t="s">
        <v>85</v>
      </c>
      <c r="Y24" s="7" t="s">
        <v>16</v>
      </c>
      <c r="Z24" s="7" t="s">
        <v>85</v>
      </c>
      <c r="AA24" s="7" t="s">
        <v>85</v>
      </c>
      <c r="AB24" s="7" t="s">
        <v>85</v>
      </c>
      <c r="AC24" s="7" t="s">
        <v>85</v>
      </c>
      <c r="AD24" s="7" t="s">
        <v>85</v>
      </c>
      <c r="AE24" s="7" t="s">
        <v>16</v>
      </c>
    </row>
    <row r="25" spans="2:31" x14ac:dyDescent="0.25">
      <c r="B25" s="7">
        <f t="shared" si="1"/>
        <v>24</v>
      </c>
      <c r="C25" s="7" t="s">
        <v>16</v>
      </c>
      <c r="D25" s="7" t="s">
        <v>85</v>
      </c>
      <c r="E25" s="7" t="s">
        <v>85</v>
      </c>
      <c r="F25" s="7" t="s">
        <v>85</v>
      </c>
      <c r="G25" s="7" t="s">
        <v>85</v>
      </c>
      <c r="H25" s="7" t="s">
        <v>85</v>
      </c>
      <c r="I25" s="7" t="s">
        <v>85</v>
      </c>
      <c r="J25" s="7" t="s">
        <v>85</v>
      </c>
      <c r="K25" s="7" t="s">
        <v>16</v>
      </c>
      <c r="L25" s="7" t="s">
        <v>89</v>
      </c>
      <c r="M25" s="7" t="s">
        <v>89</v>
      </c>
      <c r="N25" s="7" t="s">
        <v>89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89</v>
      </c>
      <c r="W25" s="7" t="s">
        <v>89</v>
      </c>
      <c r="X25" s="7" t="s">
        <v>89</v>
      </c>
      <c r="Y25" s="7" t="s">
        <v>89</v>
      </c>
      <c r="Z25" s="7" t="s">
        <v>85</v>
      </c>
      <c r="AA25" s="7" t="s">
        <v>85</v>
      </c>
      <c r="AB25" s="7" t="s">
        <v>85</v>
      </c>
      <c r="AC25" s="7" t="s">
        <v>85</v>
      </c>
      <c r="AD25" s="7" t="s">
        <v>85</v>
      </c>
      <c r="AE25" s="7" t="s">
        <v>16</v>
      </c>
    </row>
    <row r="26" spans="2:31" x14ac:dyDescent="0.25">
      <c r="B26" s="7">
        <f t="shared" si="1"/>
        <v>25</v>
      </c>
      <c r="C26" s="7" t="s">
        <v>16</v>
      </c>
      <c r="D26" s="7" t="s">
        <v>85</v>
      </c>
      <c r="E26" s="7" t="s">
        <v>85</v>
      </c>
      <c r="F26" s="7" t="s">
        <v>85</v>
      </c>
      <c r="G26" s="7" t="s">
        <v>85</v>
      </c>
      <c r="H26" s="7" t="s">
        <v>85</v>
      </c>
      <c r="I26" s="7" t="s">
        <v>85</v>
      </c>
      <c r="J26" s="7" t="s">
        <v>85</v>
      </c>
      <c r="K26" s="7" t="s">
        <v>85</v>
      </c>
      <c r="L26" s="7" t="s">
        <v>85</v>
      </c>
      <c r="M26" s="7" t="s">
        <v>85</v>
      </c>
      <c r="N26" s="7" t="s">
        <v>85</v>
      </c>
      <c r="O26" s="7" t="s">
        <v>85</v>
      </c>
      <c r="P26" s="7" t="s">
        <v>85</v>
      </c>
      <c r="Q26" s="7" t="s">
        <v>85</v>
      </c>
      <c r="R26" s="7" t="s">
        <v>87</v>
      </c>
      <c r="S26" s="7" t="s">
        <v>89</v>
      </c>
      <c r="T26" s="7" t="s">
        <v>85</v>
      </c>
      <c r="U26" s="7" t="s">
        <v>85</v>
      </c>
      <c r="V26" s="7" t="s">
        <v>85</v>
      </c>
      <c r="W26" s="7" t="s">
        <v>85</v>
      </c>
      <c r="X26" s="7" t="s">
        <v>85</v>
      </c>
      <c r="Y26" s="7" t="s">
        <v>85</v>
      </c>
      <c r="Z26" s="7" t="s">
        <v>85</v>
      </c>
      <c r="AA26" s="7" t="s">
        <v>85</v>
      </c>
      <c r="AB26" s="7" t="s">
        <v>85</v>
      </c>
      <c r="AC26" s="7" t="s">
        <v>85</v>
      </c>
      <c r="AD26" s="7" t="s">
        <v>85</v>
      </c>
      <c r="AE26" s="7" t="s">
        <v>16</v>
      </c>
    </row>
    <row r="27" spans="2:31" x14ac:dyDescent="0.25">
      <c r="B27" s="7">
        <f t="shared" si="1"/>
        <v>26</v>
      </c>
      <c r="C27" s="7" t="s">
        <v>16</v>
      </c>
      <c r="D27" s="7" t="s">
        <v>85</v>
      </c>
      <c r="E27" s="7" t="s">
        <v>85</v>
      </c>
      <c r="F27" s="7" t="s">
        <v>85</v>
      </c>
      <c r="G27" s="7" t="s">
        <v>85</v>
      </c>
      <c r="H27" s="7" t="s">
        <v>85</v>
      </c>
      <c r="I27" s="7" t="s">
        <v>85</v>
      </c>
      <c r="J27" s="7" t="s">
        <v>85</v>
      </c>
      <c r="K27" s="7" t="s">
        <v>85</v>
      </c>
      <c r="L27" s="7" t="s">
        <v>85</v>
      </c>
      <c r="M27" s="7" t="s">
        <v>85</v>
      </c>
      <c r="N27" s="7" t="s">
        <v>85</v>
      </c>
      <c r="O27" s="7" t="s">
        <v>85</v>
      </c>
      <c r="P27" s="7" t="s">
        <v>85</v>
      </c>
      <c r="Q27" s="7" t="s">
        <v>85</v>
      </c>
      <c r="R27" s="7" t="s">
        <v>87</v>
      </c>
      <c r="S27" s="7" t="s">
        <v>89</v>
      </c>
      <c r="T27" s="7" t="s">
        <v>85</v>
      </c>
      <c r="U27" s="7" t="s">
        <v>85</v>
      </c>
      <c r="V27" s="7" t="s">
        <v>85</v>
      </c>
      <c r="W27" s="7" t="s">
        <v>85</v>
      </c>
      <c r="X27" s="7" t="s">
        <v>85</v>
      </c>
      <c r="Y27" s="7" t="s">
        <v>85</v>
      </c>
      <c r="Z27" s="7" t="s">
        <v>85</v>
      </c>
      <c r="AA27" s="7" t="s">
        <v>85</v>
      </c>
      <c r="AB27" s="7" t="s">
        <v>85</v>
      </c>
      <c r="AC27" s="7" t="s">
        <v>85</v>
      </c>
      <c r="AD27" s="7" t="s">
        <v>85</v>
      </c>
      <c r="AE27" s="7" t="s">
        <v>16</v>
      </c>
    </row>
    <row r="28" spans="2:31" x14ac:dyDescent="0.25">
      <c r="B28" s="7">
        <f t="shared" si="1"/>
        <v>27</v>
      </c>
      <c r="C28" s="7" t="s">
        <v>16</v>
      </c>
      <c r="D28" s="7" t="s">
        <v>85</v>
      </c>
      <c r="E28" s="7" t="s">
        <v>85</v>
      </c>
      <c r="F28" s="7" t="s">
        <v>85</v>
      </c>
      <c r="G28" s="7" t="s">
        <v>85</v>
      </c>
      <c r="H28" s="7" t="s">
        <v>85</v>
      </c>
      <c r="I28" s="7" t="s">
        <v>85</v>
      </c>
      <c r="J28" s="7" t="s">
        <v>85</v>
      </c>
      <c r="K28" s="7" t="s">
        <v>85</v>
      </c>
      <c r="L28" s="7" t="s">
        <v>85</v>
      </c>
      <c r="M28" s="7" t="s">
        <v>85</v>
      </c>
      <c r="N28" s="7" t="s">
        <v>85</v>
      </c>
      <c r="O28" s="7" t="s">
        <v>85</v>
      </c>
      <c r="P28" s="7" t="s">
        <v>85</v>
      </c>
      <c r="Q28" s="7" t="s">
        <v>85</v>
      </c>
      <c r="R28" s="7" t="s">
        <v>87</v>
      </c>
      <c r="S28" s="7" t="s">
        <v>89</v>
      </c>
      <c r="T28" s="7" t="s">
        <v>85</v>
      </c>
      <c r="U28" s="7" t="s">
        <v>85</v>
      </c>
      <c r="V28" s="7" t="s">
        <v>85</v>
      </c>
      <c r="W28" s="7" t="s">
        <v>85</v>
      </c>
      <c r="X28" s="7" t="s">
        <v>85</v>
      </c>
      <c r="Y28" s="7" t="s">
        <v>85</v>
      </c>
      <c r="Z28" s="7" t="s">
        <v>85</v>
      </c>
      <c r="AA28" s="7" t="s">
        <v>85</v>
      </c>
      <c r="AB28" s="7" t="s">
        <v>85</v>
      </c>
      <c r="AC28" s="7" t="s">
        <v>85</v>
      </c>
      <c r="AD28" s="7" t="s">
        <v>85</v>
      </c>
      <c r="AE28" s="7" t="s">
        <v>16</v>
      </c>
    </row>
    <row r="29" spans="2:31" x14ac:dyDescent="0.25">
      <c r="B29" s="7">
        <f t="shared" si="1"/>
        <v>28</v>
      </c>
      <c r="C29" s="7" t="s">
        <v>16</v>
      </c>
      <c r="D29" s="7" t="s">
        <v>85</v>
      </c>
      <c r="E29" s="7" t="s">
        <v>85</v>
      </c>
      <c r="F29" s="7" t="s">
        <v>85</v>
      </c>
      <c r="G29" s="7" t="s">
        <v>85</v>
      </c>
      <c r="H29" s="7" t="s">
        <v>85</v>
      </c>
      <c r="I29" s="7" t="s">
        <v>85</v>
      </c>
      <c r="J29" s="7" t="s">
        <v>85</v>
      </c>
      <c r="K29" s="7" t="s">
        <v>85</v>
      </c>
      <c r="L29" s="7" t="s">
        <v>85</v>
      </c>
      <c r="M29" s="7" t="s">
        <v>85</v>
      </c>
      <c r="N29" s="7" t="s">
        <v>85</v>
      </c>
      <c r="O29" s="7" t="s">
        <v>85</v>
      </c>
      <c r="P29" s="7" t="s">
        <v>85</v>
      </c>
      <c r="Q29" s="7" t="s">
        <v>85</v>
      </c>
      <c r="R29" s="7" t="s">
        <v>87</v>
      </c>
      <c r="S29" s="7" t="s">
        <v>89</v>
      </c>
      <c r="T29" s="7" t="s">
        <v>85</v>
      </c>
      <c r="U29" s="7" t="s">
        <v>85</v>
      </c>
      <c r="V29" s="7" t="s">
        <v>85</v>
      </c>
      <c r="W29" s="7" t="s">
        <v>85</v>
      </c>
      <c r="X29" s="7" t="s">
        <v>85</v>
      </c>
      <c r="Y29" s="7" t="s">
        <v>85</v>
      </c>
      <c r="Z29" s="7" t="s">
        <v>85</v>
      </c>
      <c r="AA29" s="7" t="s">
        <v>85</v>
      </c>
      <c r="AB29" s="7" t="s">
        <v>85</v>
      </c>
      <c r="AC29" s="7" t="s">
        <v>85</v>
      </c>
      <c r="AD29" s="7" t="s">
        <v>85</v>
      </c>
      <c r="AE29" s="7" t="s">
        <v>16</v>
      </c>
    </row>
    <row r="30" spans="2:31" x14ac:dyDescent="0.25">
      <c r="B30" s="7">
        <f t="shared" si="1"/>
        <v>29</v>
      </c>
      <c r="C30" s="7" t="s">
        <v>16</v>
      </c>
      <c r="D30" s="7" t="s">
        <v>85</v>
      </c>
      <c r="E30" s="7" t="s">
        <v>85</v>
      </c>
      <c r="F30" s="7" t="s">
        <v>85</v>
      </c>
      <c r="G30" s="7" t="s">
        <v>85</v>
      </c>
      <c r="H30" s="7" t="s">
        <v>85</v>
      </c>
      <c r="I30" s="7" t="s">
        <v>85</v>
      </c>
      <c r="J30" s="7" t="s">
        <v>85</v>
      </c>
      <c r="K30" s="7" t="s">
        <v>85</v>
      </c>
      <c r="L30" s="7" t="s">
        <v>85</v>
      </c>
      <c r="M30" s="7" t="s">
        <v>85</v>
      </c>
      <c r="N30" s="7" t="s">
        <v>85</v>
      </c>
      <c r="O30" s="7" t="s">
        <v>85</v>
      </c>
      <c r="P30" s="7" t="s">
        <v>85</v>
      </c>
      <c r="Q30" s="7" t="s">
        <v>85</v>
      </c>
      <c r="R30" s="7" t="s">
        <v>87</v>
      </c>
      <c r="S30" s="7" t="s">
        <v>89</v>
      </c>
      <c r="T30" s="7" t="s">
        <v>85</v>
      </c>
      <c r="U30" s="7" t="s">
        <v>85</v>
      </c>
      <c r="V30" s="7" t="s">
        <v>85</v>
      </c>
      <c r="W30" s="7" t="s">
        <v>85</v>
      </c>
      <c r="X30" s="7" t="s">
        <v>85</v>
      </c>
      <c r="Y30" s="7" t="s">
        <v>85</v>
      </c>
      <c r="Z30" s="7" t="s">
        <v>85</v>
      </c>
      <c r="AA30" s="7" t="s">
        <v>85</v>
      </c>
      <c r="AB30" s="7" t="s">
        <v>85</v>
      </c>
      <c r="AC30" s="7" t="s">
        <v>85</v>
      </c>
      <c r="AD30" s="7" t="s">
        <v>85</v>
      </c>
      <c r="AE30" s="7" t="s">
        <v>16</v>
      </c>
    </row>
    <row r="31" spans="2:31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</row>
    <row r="32" spans="2:31" x14ac:dyDescent="0.25">
      <c r="B32" s="7"/>
    </row>
  </sheetData>
  <conditionalFormatting sqref="C2:AE31">
    <cfRule type="cellIs" dxfId="7" priority="1" operator="equal">
      <formula>"h"</formula>
    </cfRule>
    <cfRule type="cellIs" dxfId="6" priority="2" operator="equal">
      <formula>"d"</formula>
    </cfRule>
    <cfRule type="cellIs" dxfId="5" priority="3" operator="equal">
      <formula>"o"</formula>
    </cfRule>
    <cfRule type="cellIs" dxfId="4" priority="4" operator="equal">
      <formula>"x"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2015-06-06T05:27:57Z</dcterms:modified>
</cp:coreProperties>
</file>