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"/>
    </mc:Choice>
  </mc:AlternateContent>
  <bookViews>
    <workbookView xWindow="0" yWindow="0" windowWidth="25125" windowHeight="12435" activeTab="1"/>
  </bookViews>
  <sheets>
    <sheet name="Guidelines" sheetId="5" r:id="rId1"/>
    <sheet name="MechRoller" sheetId="6" r:id="rId2"/>
    <sheet name="WeaponRoller" sheetId="7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X6" i="6" l="1"/>
  <c r="AA6" i="6" s="1"/>
  <c r="I15" i="6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R26" i="6"/>
  <c r="T26" i="6" s="1"/>
  <c r="G15" i="6" s="1"/>
  <c r="R13" i="6"/>
  <c r="T13" i="6" s="1"/>
  <c r="F15" i="6" s="1"/>
  <c r="F11" i="6"/>
  <c r="R19" i="6"/>
  <c r="T19" i="6" s="1"/>
  <c r="R22" i="6"/>
  <c r="T22" i="6" s="1"/>
  <c r="G8" i="6" s="1"/>
  <c r="K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K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T6" i="6" l="1"/>
  <c r="F5" i="6" s="1"/>
  <c r="K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J5" i="7" l="1"/>
  <c r="I17" i="6" s="1"/>
  <c r="I5" i="7"/>
  <c r="I14" i="6" s="1"/>
  <c r="K3" i="6"/>
</calcChain>
</file>

<file path=xl/sharedStrings.xml><?xml version="1.0" encoding="utf-8"?>
<sst xmlns="http://schemas.openxmlformats.org/spreadsheetml/2006/main" count="192" uniqueCount="84">
  <si>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</si>
  <si>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</si>
  <si>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</si>
  <si>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</si>
  <si>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</si>
  <si>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</si>
  <si>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</si>
  <si>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</si>
  <si>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</si>
  <si>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</si>
  <si>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</si>
  <si>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</si>
  <si>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</si>
  <si>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</si>
  <si>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</si>
  <si>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</si>
  <si>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</si>
  <si>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</si>
  <si>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</si>
  <si>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</si>
  <si>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</si>
  <si>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</si>
  <si>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</si>
  <si>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</si>
  <si>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</si>
  <si>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</si>
  <si>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</si>
  <si>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</si>
  <si>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</si>
  <si>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</si>
  <si>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</si>
  <si>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</si>
  <si>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</si>
  <si>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</si>
  <si>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</si>
  <si>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</si>
  <si>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</si>
  <si>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</si>
  <si>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</si>
  <si>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</si>
  <si>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</si>
  <si>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</si>
  <si>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</si>
  <si>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</si>
  <si>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</si>
  <si>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</si>
  <si>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</si>
  <si>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</si>
  <si>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</si>
  <si>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</si>
  <si>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</si>
  <si>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</si>
  <si>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</si>
  <si>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</si>
  <si>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</si>
  <si>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</si>
  <si>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</si>
  <si>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</si>
  <si>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</si>
  <si>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meters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</si>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</sst>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2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72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22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K24" sqref="K24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38" t="s">
        <v>34</v>
      </c>
      <c r="E5" s="39"/>
      <c r="F5" s="39"/>
      <c r="G5" s="39"/>
      <c r="H5" s="39"/>
      <c r="I5" s="40"/>
    </row>
    <row r="6" spans="4:12" ht="15.75" thickBot="1" x14ac:dyDescent="0.3">
      <c r="D6" s="45"/>
      <c r="E6" s="42" t="s">
        <v>0</v>
      </c>
      <c r="F6" s="43" t="s">
        <v>1</v>
      </c>
      <c r="G6" s="43" t="s">
        <v>2</v>
      </c>
      <c r="H6" s="43" t="s">
        <v>3</v>
      </c>
      <c r="I6" s="44" t="s">
        <v>4</v>
      </c>
      <c r="J6" s="7"/>
      <c r="K6" s="98" t="s">
        <v>14</v>
      </c>
      <c r="L6" s="98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8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9" t="s">
        <v>13</v>
      </c>
      <c r="E14" s="70" t="s">
        <v>16</v>
      </c>
      <c r="F14" s="71" t="s">
        <v>16</v>
      </c>
      <c r="G14" s="71"/>
      <c r="H14" s="71"/>
      <c r="I14" s="72" t="s">
        <v>16</v>
      </c>
    </row>
    <row r="15" spans="4:12" ht="15.75" thickBot="1" x14ac:dyDescent="0.3">
      <c r="D15" s="69" t="s">
        <v>15</v>
      </c>
      <c r="E15" s="70"/>
      <c r="F15" s="71" t="s">
        <v>16</v>
      </c>
      <c r="G15" s="71"/>
      <c r="H15" s="71"/>
      <c r="I15" s="72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38" t="s">
        <v>35</v>
      </c>
      <c r="E18" s="39"/>
      <c r="F18" s="39"/>
      <c r="G18" s="39"/>
      <c r="H18" s="39"/>
      <c r="I18" s="40"/>
    </row>
    <row r="19" spans="4:10" ht="15.75" thickBot="1" x14ac:dyDescent="0.3">
      <c r="D19" s="45"/>
      <c r="E19" s="73" t="s">
        <v>0</v>
      </c>
      <c r="F19" s="74" t="s">
        <v>1</v>
      </c>
      <c r="G19" s="74" t="s">
        <v>2</v>
      </c>
      <c r="H19" s="74" t="s">
        <v>3</v>
      </c>
      <c r="I19" s="75" t="s">
        <v>4</v>
      </c>
    </row>
    <row r="20" spans="4:10" x14ac:dyDescent="0.25">
      <c r="D20" s="47" t="s">
        <v>12</v>
      </c>
      <c r="E20" s="1" t="s">
        <v>16</v>
      </c>
      <c r="F20" s="2" t="s">
        <v>16</v>
      </c>
      <c r="G20" s="76" t="s">
        <v>16</v>
      </c>
      <c r="H20" s="76" t="s">
        <v>16</v>
      </c>
      <c r="I20" s="3" t="s">
        <v>16</v>
      </c>
    </row>
    <row r="21" spans="4:10" x14ac:dyDescent="0.25">
      <c r="D21" s="47" t="s">
        <v>14</v>
      </c>
      <c r="E21" s="1"/>
      <c r="F21" s="2"/>
      <c r="G21" s="76" t="s">
        <v>16</v>
      </c>
      <c r="H21" s="76" t="s">
        <v>16</v>
      </c>
      <c r="I21" s="3" t="s">
        <v>16</v>
      </c>
      <c r="J21" s="60" t="s">
        <v>55</v>
      </c>
    </row>
    <row r="22" spans="4:10" x14ac:dyDescent="0.25">
      <c r="D22" s="47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8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9" t="s">
        <v>18</v>
      </c>
      <c r="E26" t="s">
        <v>40</v>
      </c>
    </row>
    <row r="27" spans="4:10" x14ac:dyDescent="0.25">
      <c r="D27" s="46" t="s">
        <v>19</v>
      </c>
      <c r="E27">
        <v>1.5</v>
      </c>
    </row>
    <row r="28" spans="4:10" x14ac:dyDescent="0.25">
      <c r="D28" s="47" t="s">
        <v>38</v>
      </c>
      <c r="E28">
        <v>0.25</v>
      </c>
      <c r="F28" t="s">
        <v>43</v>
      </c>
    </row>
    <row r="29" spans="4:10" x14ac:dyDescent="0.25">
      <c r="D29" s="47" t="s">
        <v>39</v>
      </c>
      <c r="E29">
        <v>0.25</v>
      </c>
      <c r="F29" t="s">
        <v>42</v>
      </c>
    </row>
    <row r="30" spans="4:10" ht="15.75" thickBot="1" x14ac:dyDescent="0.3">
      <c r="D30" s="47" t="s">
        <v>17</v>
      </c>
      <c r="E30">
        <v>0.75</v>
      </c>
    </row>
    <row r="31" spans="4:10" x14ac:dyDescent="0.25">
      <c r="D31" s="51" t="s">
        <v>61</v>
      </c>
    </row>
    <row r="32" spans="4:10" x14ac:dyDescent="0.25">
      <c r="D32" s="52" t="s">
        <v>21</v>
      </c>
      <c r="E32">
        <v>1.5</v>
      </c>
    </row>
    <row r="33" spans="4:5" ht="15.75" thickBot="1" x14ac:dyDescent="0.3">
      <c r="D33" s="53" t="s">
        <v>22</v>
      </c>
      <c r="E33">
        <v>1</v>
      </c>
    </row>
    <row r="34" spans="4:5" x14ac:dyDescent="0.25">
      <c r="D34" s="51" t="s">
        <v>37</v>
      </c>
    </row>
    <row r="35" spans="4:5" x14ac:dyDescent="0.25">
      <c r="D35" s="47" t="s">
        <v>62</v>
      </c>
    </row>
    <row r="36" spans="4:5" x14ac:dyDescent="0.25">
      <c r="D36" s="47" t="s">
        <v>63</v>
      </c>
    </row>
    <row r="37" spans="4:5" x14ac:dyDescent="0.25">
      <c r="D37" s="47" t="s">
        <v>23</v>
      </c>
    </row>
    <row r="38" spans="4:5" x14ac:dyDescent="0.25">
      <c r="D38" s="47" t="s">
        <v>20</v>
      </c>
    </row>
    <row r="39" spans="4:5" ht="15.75" thickBot="1" x14ac:dyDescent="0.3">
      <c r="D39" s="48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abSelected="1" workbookViewId="0">
      <selection activeCell="M13" sqref="M13:T13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3" t="s">
        <v>41</v>
      </c>
      <c r="F2" s="74" t="s">
        <v>0</v>
      </c>
      <c r="G2" s="74" t="s">
        <v>1</v>
      </c>
      <c r="H2" s="75" t="s">
        <v>4</v>
      </c>
      <c r="I2" s="73" t="s">
        <v>65</v>
      </c>
      <c r="J2" s="75" t="s">
        <v>66</v>
      </c>
      <c r="K2" s="89" t="s">
        <v>45</v>
      </c>
      <c r="L2" s="9"/>
      <c r="M2" s="54" t="s">
        <v>44</v>
      </c>
      <c r="N2" s="125"/>
      <c r="O2" s="125"/>
      <c r="P2" s="125"/>
      <c r="Q2" s="77">
        <f>SUM(Q4:Q13)</f>
        <v>2.7516363263130188</v>
      </c>
      <c r="R2" s="77">
        <f>SUM(R4:R13)</f>
        <v>0.99999999999999989</v>
      </c>
      <c r="S2" s="125"/>
      <c r="T2" s="126"/>
      <c r="V2" s="54" t="s">
        <v>65</v>
      </c>
      <c r="W2" s="77">
        <f>SUM(W4:W6)</f>
        <v>0.32373000383377076</v>
      </c>
      <c r="X2" s="77">
        <f>SUM(X4:X6)</f>
        <v>1</v>
      </c>
      <c r="Y2" s="152"/>
      <c r="Z2" s="125"/>
      <c r="AA2" s="126"/>
    </row>
    <row r="3" spans="4:27" ht="15.75" thickBot="1" x14ac:dyDescent="0.3">
      <c r="D3" s="35" t="s">
        <v>31</v>
      </c>
      <c r="E3" s="99">
        <v>0.5</v>
      </c>
      <c r="F3" s="101" t="str">
        <f>IF(P4,T4,"")</f>
        <v/>
      </c>
      <c r="G3" s="101">
        <f>IF(P17,T17,"")</f>
        <v>6.9530995319812383E-2</v>
      </c>
      <c r="H3" s="102" t="str">
        <f>IF(P30,T30,"")</f>
        <v/>
      </c>
      <c r="I3" s="140"/>
      <c r="J3" s="141"/>
      <c r="K3" s="113">
        <f>SUM(E3:H3)</f>
        <v>0.56953099531981244</v>
      </c>
      <c r="L3" s="9"/>
      <c r="M3" s="138">
        <v>1</v>
      </c>
      <c r="N3" s="55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8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100">
        <v>0.5</v>
      </c>
      <c r="F4" s="103">
        <f t="shared" ref="F4:F11" si="0">IF(P5,T5,"")</f>
        <v>0.20487477720307096</v>
      </c>
      <c r="G4" s="103" t="str">
        <f t="shared" ref="G4:G11" si="1">IF(P18,T18,"")</f>
        <v/>
      </c>
      <c r="H4" s="104">
        <f t="shared" ref="H4:H11" si="2">IF(P31,T31,"")</f>
        <v>0.10685462256250811</v>
      </c>
      <c r="I4" s="142"/>
      <c r="J4" s="143"/>
      <c r="K4" s="114">
        <f>SUM(E4:H4)</f>
        <v>0.81172939976557912</v>
      </c>
      <c r="L4" s="9"/>
      <c r="M4" s="81" t="s">
        <v>31</v>
      </c>
      <c r="N4" s="86">
        <v>1</v>
      </c>
      <c r="O4" s="56">
        <v>0.48203015327453613</v>
      </c>
      <c r="P4" s="86">
        <f>IF(O4&gt;0.5,1,0)</f>
        <v>0</v>
      </c>
      <c r="Q4" s="56">
        <v>0</v>
      </c>
      <c r="R4" s="56">
        <f>$M$3/$Q$2 * Q4</f>
        <v>0</v>
      </c>
      <c r="S4" s="56">
        <v>0.75</v>
      </c>
      <c r="T4" s="87">
        <f>S4*R4</f>
        <v>0</v>
      </c>
      <c r="V4" s="81" t="s">
        <v>14</v>
      </c>
      <c r="W4" s="56">
        <v>0.1</v>
      </c>
      <c r="X4" s="56">
        <f>$V$3/$W$2 * W4</f>
        <v>0.30889938781005949</v>
      </c>
      <c r="Y4" s="86">
        <v>20</v>
      </c>
      <c r="Z4" s="153">
        <v>-19</v>
      </c>
      <c r="AA4" s="155">
        <f>Y4+(Z4*X4)</f>
        <v>14.130911631608869</v>
      </c>
    </row>
    <row r="5" spans="4:27" x14ac:dyDescent="0.25">
      <c r="D5" s="1" t="s">
        <v>5</v>
      </c>
      <c r="E5" s="91">
        <v>50</v>
      </c>
      <c r="F5" s="120">
        <f t="shared" si="0"/>
        <v>21.25274806255511</v>
      </c>
      <c r="G5" s="120" t="str">
        <f t="shared" si="1"/>
        <v/>
      </c>
      <c r="H5" s="121" t="str">
        <f t="shared" si="2"/>
        <v/>
      </c>
      <c r="I5" s="142"/>
      <c r="J5" s="143"/>
      <c r="K5" s="160">
        <f>SUM(E5:H5)</f>
        <v>71.252748062555114</v>
      </c>
      <c r="L5" s="9" t="s">
        <v>59</v>
      </c>
      <c r="M5" s="82" t="s">
        <v>32</v>
      </c>
      <c r="N5" s="62">
        <v>1</v>
      </c>
      <c r="O5" s="57">
        <v>0.9800075888633728</v>
      </c>
      <c r="P5" s="62">
        <f t="shared" ref="P5:P8" si="3">IF(O5&gt;0.5,1,0)</f>
        <v>1</v>
      </c>
      <c r="Q5" s="57">
        <v>0.75165450572967529</v>
      </c>
      <c r="R5" s="57">
        <f>$M$3/$Q$2 * Q5</f>
        <v>0.27316636960409463</v>
      </c>
      <c r="S5" s="57">
        <v>0.75</v>
      </c>
      <c r="T5" s="61">
        <f>S5*R5</f>
        <v>0.20487477720307096</v>
      </c>
      <c r="V5" s="82" t="s">
        <v>7</v>
      </c>
      <c r="W5" s="57">
        <v>0.1</v>
      </c>
      <c r="X5" s="57">
        <f>$V$3/$W$2 * W5</f>
        <v>0.30889938781005949</v>
      </c>
      <c r="Y5" s="57"/>
      <c r="Z5" s="154">
        <v>50</v>
      </c>
      <c r="AA5" s="61">
        <f>Z5*X5</f>
        <v>15.444969390502974</v>
      </c>
    </row>
    <row r="6" spans="4:27" ht="15.75" thickBot="1" x14ac:dyDescent="0.3">
      <c r="D6" s="10" t="s">
        <v>6</v>
      </c>
      <c r="E6" s="90">
        <v>1</v>
      </c>
      <c r="F6" s="105">
        <f t="shared" si="0"/>
        <v>-0.3197480972352158</v>
      </c>
      <c r="G6" s="105" t="str">
        <f t="shared" si="1"/>
        <v/>
      </c>
      <c r="H6" s="106" t="str">
        <f t="shared" si="2"/>
        <v/>
      </c>
      <c r="I6" s="142"/>
      <c r="J6" s="143"/>
      <c r="K6" s="65">
        <f>SUM(E6:H6)</f>
        <v>0.6802519027647842</v>
      </c>
      <c r="L6" s="9" t="s">
        <v>60</v>
      </c>
      <c r="M6" s="82" t="s">
        <v>5</v>
      </c>
      <c r="N6" s="62">
        <v>1</v>
      </c>
      <c r="O6" s="57">
        <v>0.70229297876358032</v>
      </c>
      <c r="P6" s="62">
        <f t="shared" si="3"/>
        <v>1</v>
      </c>
      <c r="Q6" s="57">
        <v>0.58479833602905273</v>
      </c>
      <c r="R6" s="57">
        <f>$M$3/$Q$2 * Q6</f>
        <v>0.2125274806255511</v>
      </c>
      <c r="S6" s="57">
        <v>100</v>
      </c>
      <c r="T6" s="61">
        <f>S6*R6</f>
        <v>21.25274806255511</v>
      </c>
      <c r="V6" s="135" t="s">
        <v>12</v>
      </c>
      <c r="W6" s="117">
        <v>0.12373000383377075</v>
      </c>
      <c r="X6" s="58">
        <f>$V$3/$W$2 * W6</f>
        <v>0.38220122437988097</v>
      </c>
      <c r="Y6" s="78"/>
      <c r="Z6" s="33">
        <v>100</v>
      </c>
      <c r="AA6" s="137">
        <f>Z6*(X6)</f>
        <v>38.220122437988095</v>
      </c>
    </row>
    <row r="7" spans="4:27" ht="15.75" thickBot="1" x14ac:dyDescent="0.3">
      <c r="D7" s="67" t="s">
        <v>8</v>
      </c>
      <c r="E7" s="92">
        <v>0</v>
      </c>
      <c r="F7" s="119" t="str">
        <f t="shared" si="0"/>
        <v/>
      </c>
      <c r="G7" s="119" t="str">
        <f t="shared" si="1"/>
        <v/>
      </c>
      <c r="H7" s="122" t="str">
        <f t="shared" si="2"/>
        <v/>
      </c>
      <c r="I7" s="142"/>
      <c r="J7" s="143"/>
      <c r="K7" s="115">
        <f>SUM(E7:H7)</f>
        <v>0</v>
      </c>
      <c r="L7" s="9"/>
      <c r="M7" s="83" t="s">
        <v>6</v>
      </c>
      <c r="N7" s="79">
        <v>1</v>
      </c>
      <c r="O7" s="58">
        <v>0.9372822642326355</v>
      </c>
      <c r="P7" s="79">
        <f t="shared" si="3"/>
        <v>1</v>
      </c>
      <c r="Q7" s="58">
        <v>0.87983047962188721</v>
      </c>
      <c r="R7" s="58">
        <f>$M$3/$Q$2 * Q7</f>
        <v>0.3197480972352158</v>
      </c>
      <c r="S7" s="58">
        <v>-1</v>
      </c>
      <c r="T7" s="80">
        <f t="shared" ref="T7:T8" si="4">S7*R7</f>
        <v>-0.3197480972352158</v>
      </c>
    </row>
    <row r="8" spans="4:27" ht="15.75" thickBot="1" x14ac:dyDescent="0.3">
      <c r="D8" s="8" t="s">
        <v>49</v>
      </c>
      <c r="E8" s="93">
        <v>0</v>
      </c>
      <c r="F8" s="123" t="str">
        <f t="shared" si="0"/>
        <v/>
      </c>
      <c r="G8" s="123" t="str">
        <f t="shared" si="1"/>
        <v/>
      </c>
      <c r="H8" s="124" t="str">
        <f t="shared" si="2"/>
        <v/>
      </c>
      <c r="I8" s="142"/>
      <c r="J8" s="143"/>
      <c r="K8" s="127">
        <f>SUM(E8:H8)</f>
        <v>0</v>
      </c>
      <c r="L8" s="9"/>
      <c r="M8" s="84" t="s">
        <v>8</v>
      </c>
      <c r="N8" s="63">
        <v>0</v>
      </c>
      <c r="O8" s="66">
        <v>0</v>
      </c>
      <c r="P8" s="63">
        <f t="shared" si="3"/>
        <v>0</v>
      </c>
      <c r="Q8" s="66">
        <v>0</v>
      </c>
      <c r="R8" s="66">
        <f>$M$3/$Q$2 * Q8</f>
        <v>0</v>
      </c>
      <c r="S8" s="66">
        <v>10</v>
      </c>
      <c r="T8" s="85">
        <f t="shared" si="4"/>
        <v>0</v>
      </c>
    </row>
    <row r="9" spans="4:27" ht="15.75" thickBot="1" x14ac:dyDescent="0.3">
      <c r="D9" s="11" t="s">
        <v>50</v>
      </c>
      <c r="E9" s="92">
        <v>1</v>
      </c>
      <c r="F9" s="112" t="str">
        <f>IF(P10,T10,"")</f>
        <v/>
      </c>
      <c r="G9" s="112">
        <f t="shared" si="1"/>
        <v>0.79153029524173346</v>
      </c>
      <c r="H9" s="118">
        <f t="shared" si="2"/>
        <v>0.11541308218102297</v>
      </c>
      <c r="I9" s="142"/>
      <c r="J9" s="143"/>
      <c r="K9" s="116">
        <f>SUM(E9:H9)</f>
        <v>1.9069433774227567</v>
      </c>
      <c r="L9" s="9"/>
      <c r="M9" s="83" t="s">
        <v>9</v>
      </c>
      <c r="N9" s="79">
        <v>0</v>
      </c>
      <c r="O9" s="58">
        <v>0</v>
      </c>
      <c r="P9" s="79">
        <f>IF(O9&gt;0.5,1,0)</f>
        <v>0</v>
      </c>
      <c r="Q9" s="58">
        <v>0</v>
      </c>
      <c r="R9" s="58">
        <f>$M$3/$Q$2 * Q9</f>
        <v>0</v>
      </c>
      <c r="S9" s="58">
        <v>20</v>
      </c>
      <c r="T9" s="80">
        <f>S9*R9</f>
        <v>0</v>
      </c>
    </row>
    <row r="10" spans="4:27" ht="15.75" thickBot="1" x14ac:dyDescent="0.3">
      <c r="D10" s="12" t="s">
        <v>51</v>
      </c>
      <c r="E10" s="94">
        <v>1</v>
      </c>
      <c r="F10" s="107">
        <f t="shared" si="0"/>
        <v>7.6664108368114339E-2</v>
      </c>
      <c r="G10" s="107" t="str">
        <f t="shared" si="1"/>
        <v/>
      </c>
      <c r="H10" s="111">
        <f t="shared" si="2"/>
        <v>0.25908425232709292</v>
      </c>
      <c r="I10" s="142"/>
      <c r="J10" s="143"/>
      <c r="K10" s="117">
        <f>SUM(E10:H10)</f>
        <v>1.3357483606952072</v>
      </c>
      <c r="L10" s="9"/>
      <c r="M10" s="84" t="s">
        <v>64</v>
      </c>
      <c r="N10" s="63">
        <v>1</v>
      </c>
      <c r="O10" s="66">
        <v>0.31776505708694458</v>
      </c>
      <c r="P10" s="63">
        <f>IF(O10&gt;0.5,1,0)</f>
        <v>0</v>
      </c>
      <c r="Q10" s="66">
        <v>0</v>
      </c>
      <c r="R10" s="66">
        <f>$M$3/$Q$2 * Q10</f>
        <v>0</v>
      </c>
      <c r="S10" s="66">
        <v>1</v>
      </c>
      <c r="T10" s="85">
        <f>S10*R10</f>
        <v>0</v>
      </c>
    </row>
    <row r="11" spans="4:27" ht="15.75" thickBot="1" x14ac:dyDescent="0.3">
      <c r="D11" s="14" t="s">
        <v>15</v>
      </c>
      <c r="E11" s="128">
        <v>1</v>
      </c>
      <c r="F11" s="129" t="str">
        <f t="shared" si="0"/>
        <v/>
      </c>
      <c r="G11" s="129" t="str">
        <f t="shared" si="1"/>
        <v/>
      </c>
      <c r="H11" s="130" t="str">
        <f t="shared" si="2"/>
        <v/>
      </c>
      <c r="I11" s="144"/>
      <c r="J11" s="145"/>
      <c r="K11" s="131">
        <f>SUM(E11:H11)</f>
        <v>1</v>
      </c>
      <c r="L11" s="9" t="s">
        <v>58</v>
      </c>
      <c r="M11" s="82" t="s">
        <v>51</v>
      </c>
      <c r="N11" s="62">
        <v>1</v>
      </c>
      <c r="O11" s="57">
        <v>0.73838210105895996</v>
      </c>
      <c r="P11" s="62">
        <f>IF(O11&gt;0.5,1,0)</f>
        <v>1</v>
      </c>
      <c r="Q11" s="57">
        <v>0.21095174551010132</v>
      </c>
      <c r="R11" s="57">
        <f>$M$3/$Q$2 * Q11</f>
        <v>7.6664108368114339E-2</v>
      </c>
      <c r="S11" s="57">
        <v>1</v>
      </c>
      <c r="T11" s="61">
        <f>S11*R11</f>
        <v>7.6664108368114339E-2</v>
      </c>
    </row>
    <row r="12" spans="4:27" ht="15.75" thickBot="1" x14ac:dyDescent="0.3">
      <c r="K12" s="7"/>
      <c r="L12" s="9"/>
      <c r="M12" s="83" t="s">
        <v>15</v>
      </c>
      <c r="N12" s="79">
        <v>0</v>
      </c>
      <c r="O12" s="58">
        <v>0</v>
      </c>
      <c r="P12" s="79">
        <f>IF(O12&gt;0.5,1,0)</f>
        <v>0</v>
      </c>
      <c r="Q12" s="58">
        <v>0</v>
      </c>
      <c r="R12" s="58">
        <f>$M$3/$Q$2 * Q12</f>
        <v>0</v>
      </c>
      <c r="S12" s="58">
        <v>5</v>
      </c>
      <c r="T12" s="80">
        <f>S12*(1-R12)</f>
        <v>5</v>
      </c>
    </row>
    <row r="13" spans="4:27" ht="15.75" thickBot="1" x14ac:dyDescent="0.3">
      <c r="M13" s="135" t="s">
        <v>12</v>
      </c>
      <c r="N13" s="136">
        <v>1</v>
      </c>
      <c r="O13" s="5"/>
      <c r="P13" s="33">
        <v>1</v>
      </c>
      <c r="Q13" s="117">
        <v>0.32440125942230225</v>
      </c>
      <c r="R13" s="117">
        <f>$M$3/$Q$2 * Q13</f>
        <v>0.11789394416702406</v>
      </c>
      <c r="S13" s="33">
        <v>100</v>
      </c>
      <c r="T13" s="137">
        <f>S13*(R13)</f>
        <v>11.789394416702406</v>
      </c>
    </row>
    <row r="14" spans="4:27" ht="30.75" thickBot="1" x14ac:dyDescent="0.3">
      <c r="D14" s="9"/>
      <c r="I14" s="151" t="str">
        <f>WeaponRoller!I5</f>
        <v>Targetted Melee Physical</v>
      </c>
    </row>
    <row r="15" spans="4:27" ht="15.75" thickBot="1" x14ac:dyDescent="0.3">
      <c r="D15" s="13" t="s">
        <v>12</v>
      </c>
      <c r="E15" s="133">
        <v>50</v>
      </c>
      <c r="F15" s="139">
        <f>T13</f>
        <v>11.789394416702406</v>
      </c>
      <c r="G15" s="139">
        <f>T26</f>
        <v>23.15234219970332</v>
      </c>
      <c r="H15" s="139">
        <f>T39</f>
        <v>48.302983540853987</v>
      </c>
      <c r="I15" s="159">
        <f>AA6</f>
        <v>38.220122437988095</v>
      </c>
      <c r="J15" s="134"/>
      <c r="K15" s="149"/>
      <c r="M15" s="54" t="s">
        <v>56</v>
      </c>
      <c r="N15" s="125"/>
      <c r="O15" s="125"/>
      <c r="P15" s="125"/>
      <c r="Q15" s="77">
        <f>SUM(Q17:Q26)</f>
        <v>1.0786556363105775</v>
      </c>
      <c r="R15" s="77">
        <f>SUM(R17:R26)</f>
        <v>0.99999999999999989</v>
      </c>
      <c r="S15" s="125"/>
      <c r="T15" s="126"/>
    </row>
    <row r="16" spans="4:27" ht="15.75" thickBot="1" x14ac:dyDescent="0.3">
      <c r="D16" s="68" t="s">
        <v>46</v>
      </c>
      <c r="E16" s="146"/>
      <c r="F16" s="147"/>
      <c r="G16" s="147"/>
      <c r="H16" s="88"/>
      <c r="I16" s="157">
        <f>AA4</f>
        <v>14.130911631608869</v>
      </c>
      <c r="J16" s="132"/>
      <c r="K16" s="148"/>
      <c r="M16" s="138">
        <v>1</v>
      </c>
      <c r="N16" s="55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6" t="s">
        <v>7</v>
      </c>
      <c r="E17" s="95"/>
      <c r="F17" s="96"/>
      <c r="G17" s="96"/>
      <c r="H17" s="96"/>
      <c r="I17" s="158">
        <f>AA5*WeaponRoller!J5</f>
        <v>34.751181128631693</v>
      </c>
      <c r="J17" s="96"/>
      <c r="K17" s="97"/>
      <c r="M17" s="81" t="s">
        <v>31</v>
      </c>
      <c r="N17" s="86">
        <v>1</v>
      </c>
      <c r="O17" s="56">
        <v>0.84310728311538696</v>
      </c>
      <c r="P17" s="86">
        <f>IF(O17&gt;0.5,1,0)</f>
        <v>1</v>
      </c>
      <c r="Q17" s="56">
        <v>0.1</v>
      </c>
      <c r="R17" s="56">
        <f>$M$16/$Q$15 * Q17</f>
        <v>9.2707993759749835E-2</v>
      </c>
      <c r="S17" s="56">
        <v>0.75</v>
      </c>
      <c r="T17" s="87">
        <f>S17*R17</f>
        <v>6.9530995319812383E-2</v>
      </c>
    </row>
    <row r="18" spans="4:20" x14ac:dyDescent="0.25">
      <c r="M18" s="82" t="s">
        <v>32</v>
      </c>
      <c r="N18" s="62">
        <v>0</v>
      </c>
      <c r="O18" s="57">
        <v>0</v>
      </c>
      <c r="P18" s="62">
        <f t="shared" ref="P18:P21" si="5">IF(O18&gt;0.5,1,0)</f>
        <v>0</v>
      </c>
      <c r="Q18" s="57">
        <v>0</v>
      </c>
      <c r="R18" s="57">
        <f>$M$16/$Q$15 * Q18</f>
        <v>0</v>
      </c>
      <c r="S18" s="57">
        <v>0.75</v>
      </c>
      <c r="T18" s="61">
        <f>S18*R18</f>
        <v>0</v>
      </c>
    </row>
    <row r="19" spans="4:20" x14ac:dyDescent="0.25">
      <c r="M19" s="82" t="s">
        <v>5</v>
      </c>
      <c r="N19" s="62">
        <v>0</v>
      </c>
      <c r="O19" s="57">
        <v>0</v>
      </c>
      <c r="P19" s="62">
        <f t="shared" si="5"/>
        <v>0</v>
      </c>
      <c r="Q19" s="57">
        <v>0</v>
      </c>
      <c r="R19" s="57">
        <f>$M$16/$Q$15 * Q19</f>
        <v>0</v>
      </c>
      <c r="S19" s="57">
        <v>100</v>
      </c>
      <c r="T19" s="61">
        <f>S19*R19</f>
        <v>0</v>
      </c>
    </row>
    <row r="20" spans="4:20" ht="15.75" thickBot="1" x14ac:dyDescent="0.3">
      <c r="M20" s="83" t="s">
        <v>6</v>
      </c>
      <c r="N20" s="79">
        <v>0</v>
      </c>
      <c r="O20" s="58">
        <v>0</v>
      </c>
      <c r="P20" s="79">
        <f t="shared" si="5"/>
        <v>0</v>
      </c>
      <c r="Q20" s="58">
        <v>0</v>
      </c>
      <c r="R20" s="58">
        <f>$M$16/$Q$15 * Q20</f>
        <v>0</v>
      </c>
      <c r="S20" s="58">
        <v>-1</v>
      </c>
      <c r="T20" s="80">
        <f t="shared" ref="T20:T21" si="6">S20*R20</f>
        <v>0</v>
      </c>
    </row>
    <row r="21" spans="4:20" x14ac:dyDescent="0.25">
      <c r="M21" s="84" t="s">
        <v>8</v>
      </c>
      <c r="N21" s="63">
        <v>1</v>
      </c>
      <c r="O21" s="66">
        <v>0.12891215085983276</v>
      </c>
      <c r="P21" s="63">
        <f t="shared" si="5"/>
        <v>0</v>
      </c>
      <c r="Q21" s="66">
        <v>0</v>
      </c>
      <c r="R21" s="66">
        <f>$M$16/$Q$15 * Q21</f>
        <v>0</v>
      </c>
      <c r="S21" s="66">
        <v>10</v>
      </c>
      <c r="T21" s="85">
        <f t="shared" si="6"/>
        <v>0</v>
      </c>
    </row>
    <row r="22" spans="4:20" ht="15.75" thickBot="1" x14ac:dyDescent="0.3">
      <c r="M22" s="83" t="s">
        <v>9</v>
      </c>
      <c r="N22" s="79">
        <v>1</v>
      </c>
      <c r="O22" s="58">
        <v>0.41326296329498291</v>
      </c>
      <c r="P22" s="79">
        <f>IF(O22&gt;0.5,1,0)</f>
        <v>0</v>
      </c>
      <c r="Q22" s="58">
        <v>0</v>
      </c>
      <c r="R22" s="58">
        <f>$M$16/$Q$15 * Q22</f>
        <v>0</v>
      </c>
      <c r="S22" s="58">
        <v>20</v>
      </c>
      <c r="T22" s="80">
        <f>S22*R22</f>
        <v>0</v>
      </c>
    </row>
    <row r="23" spans="4:20" x14ac:dyDescent="0.25">
      <c r="M23" s="84" t="s">
        <v>64</v>
      </c>
      <c r="N23" s="63">
        <v>1</v>
      </c>
      <c r="O23" s="66">
        <v>0.82578974962234497</v>
      </c>
      <c r="P23" s="63">
        <f>IF(O23&gt;0.5,1,0)</f>
        <v>1</v>
      </c>
      <c r="Q23" s="66">
        <v>0.85378861427307129</v>
      </c>
      <c r="R23" s="66">
        <f>$M$16/$Q$15 * Q23</f>
        <v>0.79153029524173346</v>
      </c>
      <c r="S23" s="66">
        <v>1</v>
      </c>
      <c r="T23" s="85">
        <f>S23*R23</f>
        <v>0.79153029524173346</v>
      </c>
    </row>
    <row r="24" spans="4:20" x14ac:dyDescent="0.25">
      <c r="M24" s="82" t="s">
        <v>13</v>
      </c>
      <c r="N24" s="62">
        <v>1</v>
      </c>
      <c r="O24" s="57">
        <v>3.5371243953704834E-2</v>
      </c>
      <c r="P24" s="62">
        <f>IF(O24&gt;0.5,1,0)</f>
        <v>0</v>
      </c>
      <c r="Q24" s="57">
        <v>0</v>
      </c>
      <c r="R24" s="57">
        <f>$M$16/$Q$15 * Q24</f>
        <v>0</v>
      </c>
      <c r="S24" s="57">
        <v>1</v>
      </c>
      <c r="T24" s="61">
        <f>S24*R24</f>
        <v>0</v>
      </c>
    </row>
    <row r="25" spans="4:20" ht="15.75" thickBot="1" x14ac:dyDescent="0.3">
      <c r="M25" s="83" t="s">
        <v>15</v>
      </c>
      <c r="N25" s="79">
        <v>1</v>
      </c>
      <c r="O25" s="58">
        <v>0.2250441312789917</v>
      </c>
      <c r="P25" s="79">
        <f>IF(O25&gt;0.5,1,0)</f>
        <v>0</v>
      </c>
      <c r="Q25" s="58">
        <v>0</v>
      </c>
      <c r="R25" s="58">
        <f>$M$16/$Q$15 * Q25</f>
        <v>0</v>
      </c>
      <c r="S25" s="58">
        <v>5</v>
      </c>
      <c r="T25" s="80">
        <f>S25*(1-R25)</f>
        <v>5</v>
      </c>
    </row>
    <row r="26" spans="4:20" ht="15.75" thickBot="1" x14ac:dyDescent="0.3">
      <c r="M26" s="135" t="s">
        <v>12</v>
      </c>
      <c r="N26" s="136">
        <v>1</v>
      </c>
      <c r="O26" s="5"/>
      <c r="P26" s="33">
        <v>1</v>
      </c>
      <c r="Q26" s="117">
        <v>0.1248670220375061</v>
      </c>
      <c r="R26" s="117">
        <f>$M$3/$Q$15 * Q26</f>
        <v>0.11576171099851661</v>
      </c>
      <c r="S26" s="33">
        <v>200</v>
      </c>
      <c r="T26" s="137">
        <f>S26*(R26)</f>
        <v>23.15234219970332</v>
      </c>
    </row>
    <row r="27" spans="4:20" ht="15.75" thickBot="1" x14ac:dyDescent="0.3"/>
    <row r="28" spans="4:20" ht="15.75" thickBot="1" x14ac:dyDescent="0.3">
      <c r="M28" s="54" t="s">
        <v>57</v>
      </c>
      <c r="N28" s="125"/>
      <c r="O28" s="125"/>
      <c r="P28" s="125"/>
      <c r="Q28" s="77">
        <f>SUM(Q30:Q39)</f>
        <v>1.8124518394470215</v>
      </c>
      <c r="R28" s="77">
        <f>SUM(R30:R39)</f>
        <v>0.99999999999999978</v>
      </c>
      <c r="S28" s="125"/>
      <c r="T28" s="126"/>
    </row>
    <row r="29" spans="4:20" ht="15.75" thickBot="1" x14ac:dyDescent="0.3">
      <c r="M29" s="138">
        <v>1</v>
      </c>
      <c r="N29" s="55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81" t="s">
        <v>31</v>
      </c>
      <c r="N30" s="109">
        <v>0</v>
      </c>
      <c r="O30" s="110">
        <v>0</v>
      </c>
      <c r="P30" s="109">
        <f>IF(O30&gt;0.5,1,0)</f>
        <v>0</v>
      </c>
      <c r="Q30" s="110">
        <v>0</v>
      </c>
      <c r="R30" s="110">
        <f>$M$29/$Q$28 * Q30</f>
        <v>0</v>
      </c>
      <c r="S30" s="56">
        <v>0.75</v>
      </c>
      <c r="T30" s="108">
        <f>S30*R30</f>
        <v>0</v>
      </c>
    </row>
    <row r="31" spans="4:20" x14ac:dyDescent="0.25">
      <c r="M31" s="82" t="s">
        <v>32</v>
      </c>
      <c r="N31" s="62">
        <v>1</v>
      </c>
      <c r="O31" s="57">
        <v>0.95655679702758789</v>
      </c>
      <c r="P31" s="62">
        <f t="shared" ref="P31:P34" si="7">IF(O31&gt;0.5,1,0)</f>
        <v>1</v>
      </c>
      <c r="Q31" s="57">
        <v>0.25822514295578003</v>
      </c>
      <c r="R31" s="57">
        <f>$M$29/$Q$28 * Q31</f>
        <v>0.14247283008334413</v>
      </c>
      <c r="S31" s="57">
        <v>0.75</v>
      </c>
      <c r="T31" s="64">
        <f>S31*R31</f>
        <v>0.10685462256250811</v>
      </c>
    </row>
    <row r="32" spans="4:20" x14ac:dyDescent="0.25">
      <c r="M32" s="82" t="s">
        <v>5</v>
      </c>
      <c r="N32" s="62">
        <v>0</v>
      </c>
      <c r="O32" s="57">
        <v>0</v>
      </c>
      <c r="P32" s="62">
        <f t="shared" si="7"/>
        <v>0</v>
      </c>
      <c r="Q32" s="57">
        <v>0</v>
      </c>
      <c r="R32" s="57">
        <f>$M$29/$Q$28 * Q32</f>
        <v>0</v>
      </c>
      <c r="S32" s="57">
        <v>100</v>
      </c>
      <c r="T32" s="61">
        <f>S32*(1-R32)</f>
        <v>100</v>
      </c>
    </row>
    <row r="33" spans="13:20" ht="15.75" thickBot="1" x14ac:dyDescent="0.3">
      <c r="M33" s="83" t="s">
        <v>6</v>
      </c>
      <c r="N33" s="79">
        <v>0</v>
      </c>
      <c r="O33" s="58">
        <v>0</v>
      </c>
      <c r="P33" s="79">
        <f t="shared" si="7"/>
        <v>0</v>
      </c>
      <c r="Q33" s="58">
        <v>0</v>
      </c>
      <c r="R33" s="58">
        <f>$M$29/$Q$28 * Q33</f>
        <v>0</v>
      </c>
      <c r="S33" s="58">
        <v>-1</v>
      </c>
      <c r="T33" s="80">
        <f t="shared" ref="T33:T34" si="8">S33*R33</f>
        <v>0</v>
      </c>
    </row>
    <row r="34" spans="13:20" x14ac:dyDescent="0.25">
      <c r="M34" s="84" t="s">
        <v>8</v>
      </c>
      <c r="N34" s="63">
        <v>0</v>
      </c>
      <c r="O34" s="66">
        <v>0</v>
      </c>
      <c r="P34" s="63">
        <f t="shared" si="7"/>
        <v>0</v>
      </c>
      <c r="Q34" s="66">
        <v>0</v>
      </c>
      <c r="R34" s="66">
        <f>$M$29/$Q$28 * Q34</f>
        <v>0</v>
      </c>
      <c r="S34" s="66">
        <v>10</v>
      </c>
      <c r="T34" s="85">
        <f t="shared" si="8"/>
        <v>0</v>
      </c>
    </row>
    <row r="35" spans="13:20" ht="15.75" thickBot="1" x14ac:dyDescent="0.3">
      <c r="M35" s="83" t="s">
        <v>9</v>
      </c>
      <c r="N35" s="79">
        <v>0</v>
      </c>
      <c r="O35" s="58">
        <v>0</v>
      </c>
      <c r="P35" s="79">
        <f>IF(O35&gt;0.5,1,0)</f>
        <v>0</v>
      </c>
      <c r="Q35" s="58">
        <v>0</v>
      </c>
      <c r="R35" s="58">
        <f>$M$29/$Q$28 * Q35</f>
        <v>0</v>
      </c>
      <c r="S35" s="58">
        <v>20</v>
      </c>
      <c r="T35" s="80">
        <f>S35*R35</f>
        <v>0</v>
      </c>
    </row>
    <row r="36" spans="13:20" x14ac:dyDescent="0.25">
      <c r="M36" s="84" t="s">
        <v>33</v>
      </c>
      <c r="N36" s="63">
        <v>1</v>
      </c>
      <c r="O36" s="66">
        <v>0.61879932880401611</v>
      </c>
      <c r="P36" s="63">
        <f>IF(O36&gt;0.5,1,0)</f>
        <v>1</v>
      </c>
      <c r="Q36" s="66">
        <v>0.20918065309524536</v>
      </c>
      <c r="R36" s="66">
        <f>$M$29/$Q$28 * Q36</f>
        <v>0.11541308218102297</v>
      </c>
      <c r="S36" s="66">
        <v>1</v>
      </c>
      <c r="T36" s="85">
        <f>S36*R36</f>
        <v>0.11541308218102297</v>
      </c>
    </row>
    <row r="37" spans="13:20" x14ac:dyDescent="0.25">
      <c r="M37" s="82" t="s">
        <v>13</v>
      </c>
      <c r="N37" s="62">
        <v>1</v>
      </c>
      <c r="O37" s="57">
        <v>0.57898211479187012</v>
      </c>
      <c r="P37" s="62">
        <f>IF(O37&gt;0.5,1,0)</f>
        <v>1</v>
      </c>
      <c r="Q37" s="57">
        <v>0.46957772970199585</v>
      </c>
      <c r="R37" s="57">
        <f>$M$29/$Q$28 * Q37</f>
        <v>0.25908425232709292</v>
      </c>
      <c r="S37" s="57">
        <v>1</v>
      </c>
      <c r="T37" s="61">
        <f>S37*R37</f>
        <v>0.25908425232709292</v>
      </c>
    </row>
    <row r="38" spans="13:20" ht="15.75" thickBot="1" x14ac:dyDescent="0.3">
      <c r="M38" s="83" t="s">
        <v>15</v>
      </c>
      <c r="N38" s="79">
        <v>1</v>
      </c>
      <c r="O38" s="58">
        <v>0.26663243770599365</v>
      </c>
      <c r="P38" s="79">
        <f>IF(O38&gt;0.5,1,0)</f>
        <v>0</v>
      </c>
      <c r="Q38" s="58">
        <v>0</v>
      </c>
      <c r="R38" s="58">
        <f>$M$29/$Q$28 * Q38</f>
        <v>0</v>
      </c>
      <c r="S38" s="58">
        <v>5</v>
      </c>
      <c r="T38" s="80">
        <f>S38*(1-R38)</f>
        <v>5</v>
      </c>
    </row>
    <row r="39" spans="13:20" ht="15.75" thickBot="1" x14ac:dyDescent="0.3">
      <c r="M39" s="135" t="s">
        <v>12</v>
      </c>
      <c r="N39" s="136">
        <v>1</v>
      </c>
      <c r="O39" s="5"/>
      <c r="P39" s="33">
        <v>1</v>
      </c>
      <c r="Q39" s="117">
        <v>0.87546831369400024</v>
      </c>
      <c r="R39" s="117">
        <f>$M$3/$Q$28 * Q39</f>
        <v>0.48302983540853989</v>
      </c>
      <c r="S39" s="33">
        <v>100</v>
      </c>
      <c r="T39" s="137">
        <f>S39*(R39)</f>
        <v>48.302983540853987</v>
      </c>
    </row>
  </sheetData>
  <conditionalFormatting sqref="T13 N13 Q13:R13 N4:T12">
    <cfRule type="expression" dxfId="21" priority="23">
      <formula>$N4=0</formula>
    </cfRule>
  </conditionalFormatting>
  <conditionalFormatting sqref="T13 Q13:R13 Q4:T12">
    <cfRule type="expression" dxfId="20" priority="24">
      <formula>$P4=0</formula>
    </cfRule>
  </conditionalFormatting>
  <conditionalFormatting sqref="N17:R25 T17:T25">
    <cfRule type="expression" dxfId="19" priority="21">
      <formula>$N17=0</formula>
    </cfRule>
  </conditionalFormatting>
  <conditionalFormatting sqref="Q17:R25 T17:T25">
    <cfRule type="expression" dxfId="18" priority="22">
      <formula>$P17=0</formula>
    </cfRule>
  </conditionalFormatting>
  <conditionalFormatting sqref="N30:R38 T30:T38">
    <cfRule type="expression" dxfId="17" priority="19">
      <formula>$N30=0</formula>
    </cfRule>
  </conditionalFormatting>
  <conditionalFormatting sqref="Q30:R38 T30:T38">
    <cfRule type="expression" dxfId="16" priority="20">
      <formula>$P30=0</formula>
    </cfRule>
  </conditionalFormatting>
  <conditionalFormatting sqref="S30:S32 S34:S38">
    <cfRule type="expression" dxfId="15" priority="11">
      <formula>$N30=0</formula>
    </cfRule>
  </conditionalFormatting>
  <conditionalFormatting sqref="S17:S19 S21:S25">
    <cfRule type="expression" dxfId="14" priority="13">
      <formula>$N17=0</formula>
    </cfRule>
  </conditionalFormatting>
  <conditionalFormatting sqref="S17:S19 S21:S25">
    <cfRule type="expression" dxfId="13" priority="14">
      <formula>$P17=0</formula>
    </cfRule>
  </conditionalFormatting>
  <conditionalFormatting sqref="S30:S32 S34:S38">
    <cfRule type="expression" dxfId="12" priority="12">
      <formula>$P30=0</formula>
    </cfRule>
  </conditionalFormatting>
  <conditionalFormatting sqref="T39 N39 Q39:R39">
    <cfRule type="expression" dxfId="11" priority="7">
      <formula>$N39=0</formula>
    </cfRule>
  </conditionalFormatting>
  <conditionalFormatting sqref="T26 N26 Q26:R26">
    <cfRule type="expression" dxfId="10" priority="9">
      <formula>$N26=0</formula>
    </cfRule>
  </conditionalFormatting>
  <conditionalFormatting sqref="T26 Q26:R26">
    <cfRule type="expression" dxfId="9" priority="10">
      <formula>$P26=0</formula>
    </cfRule>
  </conditionalFormatting>
  <conditionalFormatting sqref="T39 Q39:R39">
    <cfRule type="expression" dxfId="8" priority="8">
      <formula>$P39=0</formula>
    </cfRule>
  </conditionalFormatting>
  <conditionalFormatting sqref="AA6 W4:AA5 W6:Y6">
    <cfRule type="expression" dxfId="7" priority="25">
      <formula>#REF!=0</formula>
    </cfRule>
  </conditionalFormatting>
  <conditionalFormatting sqref="AA6 W4:AA5 W6:Y6">
    <cfRule type="expression" dxfId="6" priority="26">
      <formula>#REF!=0</formula>
    </cfRule>
  </conditionalFormatting>
  <conditionalFormatting sqref="S20">
    <cfRule type="expression" dxfId="5" priority="3">
      <formula>$N20=0</formula>
    </cfRule>
  </conditionalFormatting>
  <conditionalFormatting sqref="S20">
    <cfRule type="expression" dxfId="4" priority="4">
      <formula>$P20=0</formula>
    </cfRule>
  </conditionalFormatting>
  <conditionalFormatting sqref="S33">
    <cfRule type="expression" dxfId="3" priority="1">
      <formula>$N33=0</formula>
    </cfRule>
  </conditionalFormatting>
  <conditionalFormatting sqref="S33">
    <cfRule type="expression" dxfId="2" priority="2">
      <formula>$P33=0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G18" sqref="G18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5" t="str">
        <f>IF(F7="x",I7,IF(F8="x",I8,IF(F9="x",I9,IF(F10="x",I10,IF(F11="x",I11,IF(F12="x",I12,IF(F13="x",I13,IF(F14="x",I14,IF(F15="x",I15,IF(F16="x",I16,""))))))))))</f>
        <v>Targetted Melee Physical</v>
      </c>
      <c r="J5" s="55">
        <f>IF(F7="x",J7,IF(F8="x",J8,IF(F9="x",J9,IF(F10="x",J10,IF(F11="x",J11,IF(F12="x",J12,IF(F13="x",J13,IF(F14="x",J14,IF(F15="x",J15,IF(F16="x",J16,""))))))))))</f>
        <v>2.25</v>
      </c>
    </row>
    <row r="6" spans="2:13" ht="15.75" thickBot="1" x14ac:dyDescent="0.3">
      <c r="B6" s="49" t="s">
        <v>18</v>
      </c>
      <c r="C6" s="50"/>
      <c r="G6" s="41">
        <v>4.8960685729980469E-2</v>
      </c>
      <c r="H6" s="41">
        <f>COUNTA(I7:I16)</f>
        <v>10</v>
      </c>
      <c r="I6" s="150" t="s">
        <v>65</v>
      </c>
      <c r="J6" t="s">
        <v>73</v>
      </c>
      <c r="M6" s="150" t="s">
        <v>66</v>
      </c>
    </row>
    <row r="7" spans="2:13" x14ac:dyDescent="0.25">
      <c r="B7" s="46" t="s">
        <v>19</v>
      </c>
      <c r="C7" s="50">
        <v>1.5</v>
      </c>
      <c r="F7" t="str">
        <f>IF($G$6&gt;=G7,IF($G$6&lt;G8,"x",""),"")</f>
        <v>x</v>
      </c>
      <c r="G7" s="59">
        <f>H7/$H$6-0.1</f>
        <v>0</v>
      </c>
      <c r="H7" s="7">
        <v>1</v>
      </c>
      <c r="I7" s="46" t="s">
        <v>67</v>
      </c>
      <c r="J7" s="46">
        <f>$C$7*$C$12</f>
        <v>2.25</v>
      </c>
      <c r="M7" s="47" t="s">
        <v>74</v>
      </c>
    </row>
    <row r="8" spans="2:13" x14ac:dyDescent="0.25">
      <c r="B8" s="47" t="s">
        <v>38</v>
      </c>
      <c r="C8" s="50">
        <v>0.33</v>
      </c>
      <c r="F8" t="str">
        <f>IF($G$6&gt;=G8,IF($G$6&lt;G9,"x",""),"")</f>
        <v/>
      </c>
      <c r="G8" s="59">
        <f t="shared" ref="G8:G16" si="0">H8/$H$6-0.1</f>
        <v>0.1</v>
      </c>
      <c r="H8" s="7">
        <v>2</v>
      </c>
      <c r="I8" s="47" t="s">
        <v>70</v>
      </c>
      <c r="J8" s="47">
        <f>$C$7*$C$13</f>
        <v>1.5</v>
      </c>
      <c r="M8" s="47" t="s">
        <v>75</v>
      </c>
    </row>
    <row r="9" spans="2:13" x14ac:dyDescent="0.25">
      <c r="B9" s="47" t="s">
        <v>39</v>
      </c>
      <c r="C9" s="50">
        <v>0.33</v>
      </c>
      <c r="F9" t="str">
        <f t="shared" ref="F9:F16" si="1">IF($G$6&gt;=G9,IF($G$6&lt;G10,"x",""),"")</f>
        <v/>
      </c>
      <c r="G9" s="59">
        <f t="shared" si="0"/>
        <v>0.19999999999999998</v>
      </c>
      <c r="H9" s="7">
        <v>3</v>
      </c>
      <c r="I9" s="47" t="s">
        <v>68</v>
      </c>
      <c r="J9" s="47">
        <f>$C$7*$C$12</f>
        <v>2.25</v>
      </c>
      <c r="M9" s="47" t="s">
        <v>76</v>
      </c>
    </row>
    <row r="10" spans="2:13" ht="15.75" thickBot="1" x14ac:dyDescent="0.3">
      <c r="B10" s="47" t="s">
        <v>17</v>
      </c>
      <c r="C10" s="50">
        <v>0.75</v>
      </c>
      <c r="F10" t="str">
        <f t="shared" si="1"/>
        <v/>
      </c>
      <c r="G10" s="59">
        <f t="shared" si="0"/>
        <v>0.30000000000000004</v>
      </c>
      <c r="H10" s="7">
        <v>4</v>
      </c>
      <c r="I10" s="48" t="s">
        <v>69</v>
      </c>
      <c r="J10" s="47">
        <f>$C$7*$C$13</f>
        <v>1.5</v>
      </c>
      <c r="M10" s="47" t="s">
        <v>77</v>
      </c>
    </row>
    <row r="11" spans="2:13" x14ac:dyDescent="0.25">
      <c r="B11" s="51" t="s">
        <v>61</v>
      </c>
      <c r="C11" s="50"/>
      <c r="F11" t="str">
        <f t="shared" si="1"/>
        <v/>
      </c>
      <c r="G11" s="59">
        <f t="shared" si="0"/>
        <v>0.4</v>
      </c>
      <c r="H11" s="7">
        <v>5</v>
      </c>
      <c r="I11" s="46" t="s">
        <v>83</v>
      </c>
      <c r="J11" s="46">
        <f>$C$8*$C$13</f>
        <v>0.33</v>
      </c>
      <c r="M11" s="47" t="s">
        <v>78</v>
      </c>
    </row>
    <row r="12" spans="2:13" x14ac:dyDescent="0.25">
      <c r="B12" s="52" t="s">
        <v>21</v>
      </c>
      <c r="C12" s="50">
        <v>1.5</v>
      </c>
      <c r="F12" t="str">
        <f t="shared" si="1"/>
        <v/>
      </c>
      <c r="G12" s="59">
        <f t="shared" si="0"/>
        <v>0.5</v>
      </c>
      <c r="H12" s="7">
        <v>6</v>
      </c>
      <c r="I12" s="47" t="s">
        <v>82</v>
      </c>
      <c r="J12" s="47">
        <f>$C$8*$C$13</f>
        <v>0.33</v>
      </c>
      <c r="M12" s="47" t="s">
        <v>79</v>
      </c>
    </row>
    <row r="13" spans="2:13" ht="15.75" thickBot="1" x14ac:dyDescent="0.3">
      <c r="B13" s="52" t="s">
        <v>22</v>
      </c>
      <c r="C13" s="50">
        <v>1</v>
      </c>
      <c r="F13" t="str">
        <f t="shared" si="1"/>
        <v/>
      </c>
      <c r="G13" s="59">
        <f t="shared" si="0"/>
        <v>0.6</v>
      </c>
      <c r="H13" s="7">
        <v>7</v>
      </c>
      <c r="I13" s="47" t="s">
        <v>80</v>
      </c>
      <c r="J13" s="47">
        <f>$C$9*$C$12</f>
        <v>0.495</v>
      </c>
      <c r="M13" s="47"/>
    </row>
    <row r="14" spans="2:13" ht="15.75" thickBot="1" x14ac:dyDescent="0.3">
      <c r="B14" s="51" t="s">
        <v>37</v>
      </c>
      <c r="C14" s="50"/>
      <c r="F14" t="str">
        <f t="shared" si="1"/>
        <v/>
      </c>
      <c r="G14" s="59">
        <f t="shared" si="0"/>
        <v>0.70000000000000007</v>
      </c>
      <c r="H14" s="7">
        <v>8</v>
      </c>
      <c r="I14" s="48" t="s">
        <v>81</v>
      </c>
      <c r="J14" s="48">
        <f>$C$9*$C$12</f>
        <v>0.495</v>
      </c>
      <c r="M14" s="47"/>
    </row>
    <row r="15" spans="2:13" x14ac:dyDescent="0.25">
      <c r="B15" s="47" t="s">
        <v>62</v>
      </c>
      <c r="C15" s="50"/>
      <c r="F15" t="str">
        <f t="shared" si="1"/>
        <v/>
      </c>
      <c r="G15" s="59">
        <f t="shared" si="0"/>
        <v>0.8</v>
      </c>
      <c r="H15" s="7">
        <v>9</v>
      </c>
      <c r="I15" s="46" t="s">
        <v>71</v>
      </c>
      <c r="J15" s="47">
        <f>C10</f>
        <v>0.75</v>
      </c>
      <c r="M15" s="47"/>
    </row>
    <row r="16" spans="2:13" ht="15.75" thickBot="1" x14ac:dyDescent="0.3">
      <c r="B16" s="48" t="s">
        <v>63</v>
      </c>
      <c r="C16" s="50"/>
      <c r="F16" t="str">
        <f t="shared" si="1"/>
        <v/>
      </c>
      <c r="G16" s="59">
        <f t="shared" si="0"/>
        <v>0.9</v>
      </c>
      <c r="H16" s="7">
        <v>10</v>
      </c>
      <c r="I16" s="48" t="s">
        <v>72</v>
      </c>
      <c r="J16" s="48">
        <f>C10</f>
        <v>0.75</v>
      </c>
      <c r="M16" s="48"/>
    </row>
    <row r="17" spans="7:7" x14ac:dyDescent="0.25">
      <c r="G17" s="7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Guidelines</vt:lpstr>
      <vt:lpstr>MechRoller</vt:lpstr>
      <vt:lpstr>WeaponRoller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2015-06-06T03:06:15Z</dcterms:modified>
</cp:coreProperties>
</file>