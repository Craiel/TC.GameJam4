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GitHub\jam1\Doc\"/>
    </mc:Choice>
  </mc:AlternateContent>
  <bookViews>
    <workbookView xWindow="0" yWindow="0" windowWidth="25125" windowHeight="12435" activeTab="4"/>
  </bookViews>
  <sheets>
    <sheet name="Guidelines" sheetId="5" r:id="rId1"/>
    <sheet name="MechRoller" sheetId="6" r:id="rId2"/>
    <sheet name="Hulls" sheetId="16" r:id="rId3"/>
    <sheet name="WeaponRoller" sheetId="7" r:id="rId4"/>
    <sheet name="MoreWeaponNotes" sheetId="11" r:id="rId5"/>
    <sheet name="BlankMap" sheetId="19" r:id="rId6"/>
    <sheet name="Map1" sheetId="8" r:id="rId7"/>
    <sheet name="Map2" sheetId="13" r:id="rId8"/>
    <sheet name="Map3" sheetId="14" r:id="rId9"/>
    <sheet name="Map4" sheetId="15" r:id="rId10"/>
    <sheet name="Map5" sheetId="12" r:id="rId11"/>
    <sheet name="UIScrap" sheetId="9" r:id="rId12"/>
    <sheet name="UIScrap2" sheetId="10" r:id="rId13"/>
    <sheet name="Metanotes" sheetId="18" r:id="rId1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9" l="1"/>
  <c r="B5" i="19" s="1"/>
  <c r="B6" i="19" s="1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" i="19"/>
  <c r="D1" i="19"/>
  <c r="E1" i="19" s="1"/>
  <c r="F1" i="19" s="1"/>
  <c r="G1" i="19" s="1"/>
  <c r="H1" i="19" s="1"/>
  <c r="I1" i="19" s="1"/>
  <c r="J1" i="19" s="1"/>
  <c r="K1" i="19" s="1"/>
  <c r="L1" i="19" s="1"/>
  <c r="M1" i="19" s="1"/>
  <c r="N1" i="19" s="1"/>
  <c r="O1" i="19" s="1"/>
  <c r="P1" i="19" s="1"/>
  <c r="Q1" i="19" s="1"/>
  <c r="R1" i="19" s="1"/>
  <c r="S1" i="19" s="1"/>
  <c r="T1" i="19" s="1"/>
  <c r="U1" i="19" s="1"/>
  <c r="V1" i="19" s="1"/>
  <c r="W1" i="19" s="1"/>
  <c r="X1" i="19" s="1"/>
  <c r="Y1" i="19" s="1"/>
  <c r="Z1" i="19" s="1"/>
  <c r="AA1" i="19" s="1"/>
  <c r="AB1" i="19" s="1"/>
  <c r="AC1" i="19" s="1"/>
  <c r="AD1" i="19" s="1"/>
  <c r="AE1" i="19" s="1"/>
  <c r="AF1" i="19" s="1"/>
  <c r="B4" i="15" l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" i="15"/>
  <c r="D1" i="15"/>
  <c r="E1" i="15" s="1"/>
  <c r="F1" i="15" s="1"/>
  <c r="G1" i="15" s="1"/>
  <c r="H1" i="15" s="1"/>
  <c r="I1" i="15" s="1"/>
  <c r="J1" i="15" s="1"/>
  <c r="K1" i="15" s="1"/>
  <c r="L1" i="15" s="1"/>
  <c r="M1" i="15" s="1"/>
  <c r="N1" i="15" s="1"/>
  <c r="O1" i="15" s="1"/>
  <c r="P1" i="15" s="1"/>
  <c r="Q1" i="15" s="1"/>
  <c r="R1" i="15" s="1"/>
  <c r="S1" i="15" s="1"/>
  <c r="T1" i="15" s="1"/>
  <c r="U1" i="15" s="1"/>
  <c r="V1" i="15" s="1"/>
  <c r="W1" i="15" s="1"/>
  <c r="X1" i="15" s="1"/>
  <c r="Y1" i="15" s="1"/>
  <c r="Z1" i="15" s="1"/>
  <c r="AA1" i="15" s="1"/>
  <c r="AB1" i="15" s="1"/>
  <c r="AC1" i="15" s="1"/>
  <c r="AD1" i="15" s="1"/>
  <c r="AE1" i="15" s="1"/>
  <c r="AF1" i="15" s="1"/>
  <c r="B4" i="14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" i="14"/>
  <c r="D1" i="14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B3" i="13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D1" i="13"/>
  <c r="E1" i="13" s="1"/>
  <c r="F1" i="13" s="1"/>
  <c r="G1" i="13" s="1"/>
  <c r="H1" i="13" s="1"/>
  <c r="I1" i="13" s="1"/>
  <c r="J1" i="13" s="1"/>
  <c r="K1" i="13" s="1"/>
  <c r="L1" i="13" s="1"/>
  <c r="M1" i="13" s="1"/>
  <c r="N1" i="13" s="1"/>
  <c r="O1" i="13" s="1"/>
  <c r="P1" i="13" s="1"/>
  <c r="Q1" i="13" s="1"/>
  <c r="R1" i="13" s="1"/>
  <c r="S1" i="13" s="1"/>
  <c r="T1" i="13" s="1"/>
  <c r="U1" i="13" s="1"/>
  <c r="V1" i="13" s="1"/>
  <c r="W1" i="13" s="1"/>
  <c r="X1" i="13" s="1"/>
  <c r="Y1" i="13" s="1"/>
  <c r="Z1" i="13" s="1"/>
  <c r="AA1" i="13" s="1"/>
  <c r="AB1" i="13" s="1"/>
  <c r="AC1" i="13" s="1"/>
  <c r="AD1" i="13" s="1"/>
  <c r="AE1" i="13" s="1"/>
  <c r="AF1" i="13" s="1"/>
  <c r="B3" i="12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E1" i="12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R1" i="12" s="1"/>
  <c r="S1" i="12" s="1"/>
  <c r="T1" i="12" s="1"/>
  <c r="U1" i="12" s="1"/>
  <c r="V1" i="12" s="1"/>
  <c r="W1" i="12" s="1"/>
  <c r="X1" i="12" s="1"/>
  <c r="Y1" i="12" s="1"/>
  <c r="Z1" i="12" s="1"/>
  <c r="AA1" i="12" s="1"/>
  <c r="AB1" i="12" s="1"/>
  <c r="AC1" i="12" s="1"/>
  <c r="AD1" i="12" s="1"/>
  <c r="AE1" i="12" s="1"/>
  <c r="AF1" i="12" s="1"/>
  <c r="D1" i="12"/>
  <c r="H3" i="10"/>
  <c r="H16" i="10"/>
  <c r="G2" i="9"/>
  <c r="AF1" i="8" l="1"/>
  <c r="AE1" i="8"/>
  <c r="AD1" i="8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B31" i="8" l="1"/>
  <c r="B30" i="8"/>
  <c r="B29" i="8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C15" i="9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F8" i="9" l="1"/>
  <c r="G8" i="10"/>
  <c r="F7" i="9"/>
  <c r="G7" i="10"/>
  <c r="G5" i="10"/>
  <c r="F5" i="9"/>
  <c r="F5" i="10"/>
  <c r="E5" i="9"/>
  <c r="F4" i="10"/>
  <c r="E4" i="9"/>
  <c r="E7" i="10"/>
  <c r="D7" i="9"/>
  <c r="E8" i="10"/>
  <c r="D8" i="9"/>
  <c r="X6" i="6"/>
  <c r="AA6" i="6" s="1"/>
  <c r="I15" i="6" s="1"/>
  <c r="C16" i="10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G16" i="10" s="1"/>
  <c r="R26" i="6"/>
  <c r="T26" i="6" s="1"/>
  <c r="G15" i="6" s="1"/>
  <c r="F16" i="10" s="1"/>
  <c r="R13" i="6"/>
  <c r="T13" i="6" s="1"/>
  <c r="F15" i="6" s="1"/>
  <c r="E16" i="10" s="1"/>
  <c r="F11" i="6"/>
  <c r="R19" i="6"/>
  <c r="T19" i="6" s="1"/>
  <c r="R22" i="6"/>
  <c r="T22" i="6" s="1"/>
  <c r="G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F9" i="9" l="1"/>
  <c r="G9" i="10"/>
  <c r="F11" i="9"/>
  <c r="G11" i="10"/>
  <c r="G6" i="10"/>
  <c r="F6" i="9"/>
  <c r="F10" i="9"/>
  <c r="G10" i="10"/>
  <c r="G4" i="10"/>
  <c r="F4" i="9"/>
  <c r="E6" i="9"/>
  <c r="F6" i="10"/>
  <c r="E9" i="9"/>
  <c r="F9" i="10"/>
  <c r="E11" i="9"/>
  <c r="F11" i="10"/>
  <c r="K7" i="6"/>
  <c r="G7" i="9" s="1"/>
  <c r="F7" i="10"/>
  <c r="E7" i="9"/>
  <c r="E10" i="9"/>
  <c r="F10" i="10"/>
  <c r="K8" i="6"/>
  <c r="D8" i="10" s="1"/>
  <c r="F8" i="10"/>
  <c r="E8" i="9"/>
  <c r="D4" i="9"/>
  <c r="E4" i="10"/>
  <c r="E10" i="10"/>
  <c r="D10" i="9"/>
  <c r="D11" i="9"/>
  <c r="E11" i="10"/>
  <c r="D9" i="9"/>
  <c r="E9" i="10"/>
  <c r="D6" i="9"/>
  <c r="E6" i="10"/>
  <c r="T6" i="6"/>
  <c r="F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F3" i="9" l="1"/>
  <c r="G3" i="10"/>
  <c r="D7" i="10"/>
  <c r="G8" i="9"/>
  <c r="E3" i="9"/>
  <c r="F3" i="10"/>
  <c r="G11" i="9"/>
  <c r="D11" i="10"/>
  <c r="K5" i="6"/>
  <c r="E5" i="10"/>
  <c r="D5" i="9"/>
  <c r="D9" i="10"/>
  <c r="G9" i="9"/>
  <c r="D6" i="10"/>
  <c r="G6" i="9"/>
  <c r="D4" i="10"/>
  <c r="G4" i="9"/>
  <c r="D10" i="10"/>
  <c r="G10" i="9"/>
  <c r="D3" i="9"/>
  <c r="E3" i="10"/>
  <c r="J5" i="7"/>
  <c r="I17" i="6" s="1"/>
  <c r="J3" i="11" s="1"/>
  <c r="I5" i="7"/>
  <c r="I14" i="6" s="1"/>
  <c r="K3" i="6"/>
  <c r="I18" i="6" l="1"/>
  <c r="C16" i="9" s="1"/>
  <c r="G5" i="9"/>
  <c r="D5" i="10"/>
  <c r="D3" i="10"/>
  <c r="G3" i="9"/>
  <c r="C14" i="9"/>
  <c r="C17" i="10"/>
  <c r="C18" i="10" l="1"/>
  <c r="J25" i="11"/>
  <c r="L25" i="11" s="1"/>
  <c r="M25" i="11" s="1"/>
  <c r="J21" i="11"/>
  <c r="L21" i="11" s="1"/>
  <c r="M21" i="11" s="1"/>
  <c r="J10" i="11"/>
  <c r="L10" i="11" s="1"/>
  <c r="M10" i="11" s="1"/>
  <c r="J7" i="11"/>
  <c r="L7" i="11" s="1"/>
  <c r="M7" i="11" s="1"/>
  <c r="J13" i="11"/>
  <c r="L13" i="11" s="1"/>
  <c r="M13" i="11" s="1"/>
  <c r="J24" i="11"/>
  <c r="L24" i="11" s="1"/>
  <c r="J8" i="11"/>
  <c r="L8" i="11" s="1"/>
  <c r="M8" i="11" s="1"/>
  <c r="J20" i="11"/>
  <c r="L20" i="11" s="1"/>
  <c r="M20" i="11" s="1"/>
  <c r="J23" i="11"/>
  <c r="L23" i="11" s="1"/>
  <c r="J18" i="11"/>
  <c r="L18" i="11" s="1"/>
  <c r="M18" i="11" s="1"/>
  <c r="J19" i="11"/>
  <c r="L19" i="11" s="1"/>
  <c r="M19" i="11" s="1"/>
  <c r="J22" i="11"/>
  <c r="L22" i="11" s="1"/>
  <c r="J6" i="11"/>
  <c r="L6" i="11" s="1"/>
  <c r="M6" i="11" s="1"/>
  <c r="J11" i="11"/>
  <c r="L11" i="11" s="1"/>
  <c r="M11" i="11" s="1"/>
  <c r="J5" i="11"/>
  <c r="L5" i="11" s="1"/>
  <c r="M5" i="11" s="1"/>
  <c r="J9" i="11"/>
  <c r="L9" i="11" s="1"/>
  <c r="M9" i="11" s="1"/>
  <c r="J12" i="11"/>
  <c r="L12" i="11" s="1"/>
  <c r="M23" i="11" s="1"/>
  <c r="J14" i="11"/>
  <c r="L14" i="11" s="1"/>
  <c r="M14" i="11" s="1"/>
  <c r="M12" i="11" l="1"/>
</calcChain>
</file>

<file path=xl/sharedStrings.xml><?xml version="1.0" encoding="utf-8"?>
<sst xmlns="http://schemas.openxmlformats.org/spreadsheetml/2006/main" count="5835" uniqueCount="146">
  <si>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</si>
  <si>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</si>
  <si>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</si>
  <si>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</si>
  <si>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</si>
  <si>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</si>
  <si>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</si>
  <si>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</si>
  <si>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</si>
  <si>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</si>
  <si>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</si>
  <si>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</si>
  <si>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</si>
  <si>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</si>
  <si>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</si>
  <si>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</si>
  <si>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</si>
  <si>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</si>
  <si>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</si>
  <si>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</si>
  <si>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</si>
  <si>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</si>
  <si>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</si>
  <si>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</si>
  <si>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</si>
  <si>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</si>
  <si>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</si>
  <si>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</si>
  <si>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</si>
  <si>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</si>
  <si>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</si>
  <si>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</si>
  <si>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</si>
  <si>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</si>
  <si>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</si>
  <si>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</si>
  <si>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</si>
  <si>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</si>
  <si>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</si>
  <si>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</si>
  <si>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</si>
  <si>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</si>
  <si>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</si>
  <si>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</si>
  <si>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</si>
  <si>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</si>
  <si>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</si>
  <si>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</si>
  <si>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</si>
  <si>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</si>
  <si>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</si>
  <si>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</si>
  <si>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</si>
  <si>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</si>
  <si>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</si>
  <si>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</si>
  <si>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</si>
  <si>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</si>
  <si>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</si>
  <si>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</si>
  <si>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</si>
  <si>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</si>
  <si>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</si>
  <si>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</si>
  <si>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</si>
  <si>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</si>
  <si>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</si>
  <si>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</si>
  <si>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</si>
  <si>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</si>
  <si>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</si>
  <si>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</si>
  <si>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</si>
  <si>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</si>
  <si>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</si>
  <si>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</si>
  <si>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</si>
  <si>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</si>
  <si>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</si>
  <si>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</si>
  <si>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</si>
  <si>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</si>
  <si>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</si>
  <si>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indestructable</t>
  </si>
  <si>
    <t>o</t>
  </si>
  <si>
    <t>path</t>
  </si>
  <si>
    <t>h</t>
  </si>
  <si>
    <t>half wall</t>
  </si>
  <si>
    <t>d</t>
  </si>
  <si>
    <t>destructible</t>
  </si>
  <si>
    <t>s</t>
  </si>
  <si>
    <t>spawn</t>
  </si>
  <si>
    <t>tiles</t>
  </si>
  <si>
    <t>heat/second</t>
  </si>
  <si>
    <t>Mech</t>
  </si>
  <si>
    <t>GUI</t>
  </si>
  <si>
    <t>Type</t>
  </si>
  <si>
    <t>Effect</t>
  </si>
  <si>
    <t>Not Equipped</t>
  </si>
  <si>
    <t>heat</t>
  </si>
  <si>
    <t>hull</t>
  </si>
  <si>
    <t>No Equip</t>
  </si>
  <si>
    <t>Targetted Grapple</t>
  </si>
  <si>
    <t>Targetted Slow</t>
  </si>
  <si>
    <t>Targetted Heat</t>
  </si>
  <si>
    <t>Self Speed Boost</t>
  </si>
  <si>
    <t>Targetted Homing Missile</t>
  </si>
  <si>
    <t>Mods</t>
  </si>
  <si>
    <t>Formula</t>
  </si>
  <si>
    <t>Units</t>
  </si>
  <si>
    <t>SubScore</t>
  </si>
  <si>
    <t xml:space="preserve">Plant Bomb </t>
  </si>
  <si>
    <t>Seconds</t>
  </si>
  <si>
    <t>Distance</t>
  </si>
  <si>
    <t>Heat Damage</t>
  </si>
  <si>
    <t>Speed Mult</t>
  </si>
  <si>
    <t>Gustavel Mk.IV</t>
  </si>
  <si>
    <t>Wilson Interceptor</t>
  </si>
  <si>
    <t>Blahuta Platform</t>
  </si>
  <si>
    <t>???</t>
  </si>
  <si>
    <t xml:space="preserve">Hull </t>
  </si>
  <si>
    <t>hex is set map</t>
  </si>
  <si>
    <t>bonuses for tile capture per tile?</t>
  </si>
  <si>
    <t>flavor map?</t>
  </si>
  <si>
    <t>holes?</t>
  </si>
  <si>
    <t>win condition?</t>
  </si>
  <si>
    <t>bonuses for surrounding tiles &lt;- lives</t>
  </si>
  <si>
    <t>castles or some shit (go complex)</t>
  </si>
  <si>
    <t>mech avatar?</t>
  </si>
  <si>
    <t>new idea</t>
  </si>
  <si>
    <t>lives as pickup</t>
  </si>
  <si>
    <t>rain</t>
  </si>
  <si>
    <t>dust storm</t>
  </si>
  <si>
    <t>snow</t>
  </si>
  <si>
    <t>etc</t>
  </si>
  <si>
    <t>map effects globally applied</t>
  </si>
  <si>
    <t>double heat</t>
  </si>
  <si>
    <t>reduce speed</t>
  </si>
  <si>
    <t>lots of crates</t>
  </si>
  <si>
    <t>reduce targetting</t>
  </si>
  <si>
    <t>insta crate drops near you (per type)</t>
  </si>
  <si>
    <t>pickup / points only if winner gets it</t>
  </si>
  <si>
    <t>half points if constestor?</t>
  </si>
  <si>
    <t>pickups, but not points???</t>
  </si>
  <si>
    <t>periodic damage</t>
  </si>
  <si>
    <t>Type Williams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</si>
</sst>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5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6" xfId="0" applyNumberFormat="1" applyBorder="1"/>
    <xf numFmtId="9" fontId="0" fillId="0" borderId="24" xfId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9" fontId="0" fillId="0" borderId="4" xfId="1" applyFont="1" applyBorder="1" applyAlignment="1">
      <alignment horizontal="center"/>
    </xf>
    <xf numFmtId="9" fontId="0" fillId="0" borderId="1" xfId="1" applyFon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21" xfId="0" applyNumberFormat="1" applyFill="1" applyBorder="1" applyAlignment="1">
      <alignment horizontal="center"/>
    </xf>
    <xf numFmtId="2" fontId="0" fillId="0" borderId="22" xfId="0" applyNumberFormat="1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0" fillId="0" borderId="25" xfId="0" applyNumberFormat="1" applyFill="1" applyBorder="1" applyAlignment="1">
      <alignment horizontal="center"/>
    </xf>
    <xf numFmtId="0" fontId="5" fillId="4" borderId="21" xfId="0" applyFont="1" applyFill="1" applyBorder="1" applyAlignment="1">
      <alignment horizontal="center" wrapText="1"/>
    </xf>
    <xf numFmtId="9" fontId="0" fillId="0" borderId="25" xfId="1" applyFont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9" fontId="0" fillId="0" borderId="3" xfId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25" xfId="0" applyFill="1" applyBorder="1"/>
    <xf numFmtId="0" fontId="0" fillId="6" borderId="25" xfId="0" applyFill="1" applyBorder="1"/>
    <xf numFmtId="0" fontId="2" fillId="4" borderId="23" xfId="0" applyFont="1" applyFill="1" applyBorder="1"/>
    <xf numFmtId="9" fontId="0" fillId="6" borderId="24" xfId="1" applyFont="1" applyFill="1" applyBorder="1" applyAlignment="1">
      <alignment horizontal="center"/>
    </xf>
    <xf numFmtId="9" fontId="0" fillId="6" borderId="25" xfId="1" applyFont="1" applyFill="1" applyBorder="1" applyAlignment="1">
      <alignment horizontal="center"/>
    </xf>
    <xf numFmtId="1" fontId="0" fillId="6" borderId="25" xfId="0" applyNumberFormat="1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2" fontId="0" fillId="6" borderId="25" xfId="0" applyNumberFormat="1" applyFill="1" applyBorder="1" applyAlignment="1">
      <alignment horizontal="center"/>
    </xf>
    <xf numFmtId="2" fontId="0" fillId="6" borderId="26" xfId="0" applyNumberForma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5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0" borderId="2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1" xfId="0" applyBorder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0" xfId="0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right"/>
    </xf>
    <xf numFmtId="2" fontId="0" fillId="0" borderId="3" xfId="0" applyNumberFormat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0" fillId="0" borderId="24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25" xfId="0" applyBorder="1" applyAlignment="1">
      <alignment horizontal="right"/>
    </xf>
    <xf numFmtId="0" fontId="0" fillId="0" borderId="24" xfId="0" applyFill="1" applyBorder="1" applyAlignment="1">
      <alignment horizontal="right"/>
    </xf>
    <xf numFmtId="0" fontId="0" fillId="0" borderId="25" xfId="0" applyFill="1" applyBorder="1" applyAlignment="1">
      <alignment horizontal="right"/>
    </xf>
    <xf numFmtId="0" fontId="0" fillId="0" borderId="26" xfId="0" applyFill="1" applyBorder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4" xfId="0" applyBorder="1"/>
    <xf numFmtId="0" fontId="5" fillId="4" borderId="4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9" fontId="0" fillId="0" borderId="0" xfId="0" applyNumberFormat="1"/>
    <xf numFmtId="0" fontId="0" fillId="6" borderId="24" xfId="0" applyFill="1" applyBorder="1"/>
    <xf numFmtId="0" fontId="0" fillId="0" borderId="0" xfId="0" applyAlignment="1"/>
    <xf numFmtId="1" fontId="0" fillId="0" borderId="0" xfId="0" applyNumberFormat="1" applyAlignment="1"/>
    <xf numFmtId="164" fontId="0" fillId="0" borderId="0" xfId="0" applyNumberFormat="1" applyAlignment="1"/>
    <xf numFmtId="1" fontId="0" fillId="0" borderId="1" xfId="0" applyNumberFormat="1" applyBorder="1" applyAlignment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9" fontId="0" fillId="0" borderId="6" xfId="0" applyNumberFormat="1" applyBorder="1"/>
    <xf numFmtId="0" fontId="0" fillId="0" borderId="24" xfId="0" applyBorder="1" applyAlignment="1"/>
    <xf numFmtId="0" fontId="0" fillId="0" borderId="28" xfId="0" applyBorder="1"/>
    <xf numFmtId="0" fontId="0" fillId="0" borderId="24" xfId="0" applyFill="1" applyBorder="1" applyAlignment="1"/>
    <xf numFmtId="0" fontId="0" fillId="0" borderId="24" xfId="0" applyFill="1" applyBorder="1"/>
    <xf numFmtId="0" fontId="0" fillId="0" borderId="26" xfId="0" applyFill="1" applyBorder="1"/>
    <xf numFmtId="0" fontId="0" fillId="0" borderId="1" xfId="0" applyFill="1" applyBorder="1"/>
    <xf numFmtId="0" fontId="0" fillId="0" borderId="25" xfId="0" applyBorder="1" applyAlignment="1"/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9" fontId="0" fillId="0" borderId="4" xfId="0" applyNumberFormat="1" applyBorder="1"/>
  </cellXfs>
  <cellStyles count="2">
    <cellStyle name="Normal" xfId="0" builtinId="0"/>
    <cellStyle name="Percent" xfId="1" builtinId="5"/>
  </cellStyles>
  <dxfs count="56"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 tint="0.34998626667073579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 tint="0.34998626667073579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1</xdr:row>
      <xdr:rowOff>9525</xdr:rowOff>
    </xdr:from>
    <xdr:to>
      <xdr:col>8</xdr:col>
      <xdr:colOff>1133475</xdr:colOff>
      <xdr:row>2</xdr:row>
      <xdr:rowOff>152401</xdr:rowOff>
    </xdr:to>
    <xdr:sp macro="[0]!RollRightArm" textlink="">
      <xdr:nvSpPr>
        <xdr:cNvPr id="2" name="Rectangle 1"/>
        <xdr:cNvSpPr/>
      </xdr:nvSpPr>
      <xdr:spPr>
        <a:xfrm>
          <a:off x="5981700" y="200025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E10" sqref="E10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231" t="s">
        <v>34</v>
      </c>
      <c r="E5" s="232"/>
      <c r="F5" s="232"/>
      <c r="G5" s="232"/>
      <c r="H5" s="232"/>
      <c r="I5" s="233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231" t="s">
        <v>35</v>
      </c>
      <c r="E18" s="232"/>
      <c r="F18" s="232"/>
      <c r="G18" s="232"/>
      <c r="H18" s="232"/>
      <c r="I18" s="233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60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61</v>
      </c>
    </row>
    <row r="36" spans="4:5" x14ac:dyDescent="0.25">
      <c r="D36" s="44" t="s">
        <v>62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topLeftCell="C1" workbookViewId="0">
      <selection activeCell="E22" sqref="E22:H23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64</v>
      </c>
      <c r="J2" s="72" t="s">
        <v>65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1.8058868169784545</v>
      </c>
      <c r="R2" s="74">
        <f>SUM(R4:R13)</f>
        <v>1</v>
      </c>
      <c r="S2" s="122"/>
      <c r="T2" s="123"/>
      <c r="V2" s="51" t="s">
        <v>64</v>
      </c>
      <c r="W2" s="74">
        <f>SUM(W4:W6)</f>
        <v>0.8918498158454895</v>
      </c>
      <c r="X2" s="74">
        <f>SUM(X4:X6)</f>
        <v>1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>
        <f>IF(P4,T4,"")</f>
        <v>5.8266820590511637E-2</v>
      </c>
      <c r="G3" s="98">
        <f>IF(P17,T17,"")</f>
        <v>9.1395967432116421E-2</v>
      </c>
      <c r="H3" s="99" t="str">
        <f>IF(P30,T30,"")</f>
        <v/>
      </c>
      <c r="I3" s="137"/>
      <c r="J3" s="138"/>
      <c r="K3" s="110">
        <f t="shared" ref="K3:K11" si="0">SUM(E3:H3)</f>
        <v>0.64966278802262811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0.6</v>
      </c>
      <c r="F4" s="100">
        <f t="shared" ref="F4:F11" si="1">IF(P5,T5,"")</f>
        <v>4.1530841963555241E-2</v>
      </c>
      <c r="G4" s="100" t="str">
        <f t="shared" ref="G4:G11" si="2">IF(P18,T18,"")</f>
        <v/>
      </c>
      <c r="H4" s="101" t="str">
        <f t="shared" ref="H4:H11" si="3">IF(P31,T31,"")</f>
        <v/>
      </c>
      <c r="I4" s="139"/>
      <c r="J4" s="140"/>
      <c r="K4" s="111">
        <f t="shared" si="0"/>
        <v>0.64153084196355525</v>
      </c>
      <c r="L4" s="9"/>
      <c r="M4" s="78" t="s">
        <v>31</v>
      </c>
      <c r="N4" s="83">
        <v>1</v>
      </c>
      <c r="O4" s="53">
        <v>0.70236313343048096</v>
      </c>
      <c r="P4" s="83">
        <f>IF(O4&gt;0.5,1,0)</f>
        <v>1</v>
      </c>
      <c r="Q4" s="53">
        <v>0.14029771089553833</v>
      </c>
      <c r="R4" s="53">
        <f t="shared" ref="R4:R13" si="4">$M$3/$Q$2 * Q4</f>
        <v>7.7689094120682187E-2</v>
      </c>
      <c r="S4" s="53">
        <v>0.75</v>
      </c>
      <c r="T4" s="84">
        <f>S4*R4</f>
        <v>5.8266820590511637E-2</v>
      </c>
      <c r="V4" s="78" t="s">
        <v>14</v>
      </c>
      <c r="W4" s="53">
        <v>0.11532163619995117</v>
      </c>
      <c r="X4" s="53">
        <f>$V$3/$W$2 * W4</f>
        <v>0.1293061165131533</v>
      </c>
      <c r="Y4" s="83">
        <v>20</v>
      </c>
      <c r="Z4" s="150">
        <v>-19</v>
      </c>
      <c r="AA4" s="152">
        <f>Y4+(Z4*X4)</f>
        <v>17.543183786250086</v>
      </c>
    </row>
    <row r="5" spans="4:27" x14ac:dyDescent="0.25">
      <c r="D5" s="1" t="s">
        <v>5</v>
      </c>
      <c r="E5" s="88">
        <v>20</v>
      </c>
      <c r="F5" s="159" t="str">
        <f t="shared" si="1"/>
        <v/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20</v>
      </c>
      <c r="L5" s="9" t="s">
        <v>92</v>
      </c>
      <c r="M5" s="79" t="s">
        <v>32</v>
      </c>
      <c r="N5" s="59">
        <v>1</v>
      </c>
      <c r="O5" s="54">
        <v>0.82649397850036621</v>
      </c>
      <c r="P5" s="59">
        <f t="shared" ref="P5:P8" si="5">IF(O5&gt;0.5,1,0)</f>
        <v>1</v>
      </c>
      <c r="Q5" s="54">
        <v>0.1</v>
      </c>
      <c r="R5" s="54">
        <f t="shared" si="4"/>
        <v>5.5374455951406991E-2</v>
      </c>
      <c r="S5" s="54">
        <v>0.75</v>
      </c>
      <c r="T5" s="58">
        <f>S5*R5</f>
        <v>4.1530841963555241E-2</v>
      </c>
      <c r="V5" s="79" t="s">
        <v>7</v>
      </c>
      <c r="W5" s="54">
        <v>0.10059517621994019</v>
      </c>
      <c r="X5" s="54">
        <f>$V$3/$W$2 * W5</f>
        <v>0.11279385209557302</v>
      </c>
      <c r="Y5" s="54"/>
      <c r="Z5" s="151">
        <v>50</v>
      </c>
      <c r="AA5" s="58">
        <f>Z5*X5</f>
        <v>5.6396926047786513</v>
      </c>
    </row>
    <row r="6" spans="4:27" ht="15.75" thickBot="1" x14ac:dyDescent="0.3">
      <c r="D6" s="10" t="s">
        <v>6</v>
      </c>
      <c r="E6" s="87">
        <v>1</v>
      </c>
      <c r="F6" s="102">
        <f t="shared" si="1"/>
        <v>-5.5374455951406991E-2</v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0.944625544048593</v>
      </c>
      <c r="L6" s="9" t="s">
        <v>59</v>
      </c>
      <c r="M6" s="79" t="s">
        <v>5</v>
      </c>
      <c r="N6" s="59">
        <v>1</v>
      </c>
      <c r="O6" s="54">
        <v>0.146933913230896</v>
      </c>
      <c r="P6" s="59">
        <f t="shared" si="5"/>
        <v>0</v>
      </c>
      <c r="Q6" s="54">
        <v>0</v>
      </c>
      <c r="R6" s="54">
        <f t="shared" si="4"/>
        <v>0</v>
      </c>
      <c r="S6" s="54">
        <v>30</v>
      </c>
      <c r="T6" s="58">
        <f>S6*R6</f>
        <v>0</v>
      </c>
      <c r="V6" s="132" t="s">
        <v>12</v>
      </c>
      <c r="W6" s="114">
        <v>0.67593300342559814</v>
      </c>
      <c r="X6" s="55">
        <f>$V$3/$W$2 * W6</f>
        <v>0.75790003139127371</v>
      </c>
      <c r="Y6" s="75"/>
      <c r="Z6" s="33">
        <v>200</v>
      </c>
      <c r="AA6" s="134">
        <f>Z6*(X6)</f>
        <v>151.58000627825473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 t="str">
        <f t="shared" si="2"/>
        <v/>
      </c>
      <c r="H7" s="119" t="str">
        <f t="shared" si="3"/>
        <v/>
      </c>
      <c r="I7" s="139"/>
      <c r="J7" s="140"/>
      <c r="K7" s="112">
        <f t="shared" si="0"/>
        <v>0</v>
      </c>
      <c r="L7" s="9"/>
      <c r="M7" s="80" t="s">
        <v>6</v>
      </c>
      <c r="N7" s="76">
        <v>1</v>
      </c>
      <c r="O7" s="55">
        <v>0.86890226602554321</v>
      </c>
      <c r="P7" s="76">
        <f t="shared" si="5"/>
        <v>1</v>
      </c>
      <c r="Q7" s="55">
        <v>0.1</v>
      </c>
      <c r="R7" s="55">
        <f t="shared" si="4"/>
        <v>5.5374455951406991E-2</v>
      </c>
      <c r="S7" s="55">
        <v>-1</v>
      </c>
      <c r="T7" s="77">
        <f t="shared" ref="T7:T8" si="6">S7*R7</f>
        <v>-5.5374455951406991E-2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>
        <f t="shared" si="2"/>
        <v>5.1316509389462075</v>
      </c>
      <c r="H8" s="121" t="str">
        <f t="shared" si="3"/>
        <v/>
      </c>
      <c r="I8" s="139"/>
      <c r="J8" s="140"/>
      <c r="K8" s="124">
        <f t="shared" si="0"/>
        <v>5.1316509389462075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>
        <f t="shared" si="2"/>
        <v>0.18887425210272105</v>
      </c>
      <c r="H9" s="115" t="str">
        <f t="shared" si="3"/>
        <v/>
      </c>
      <c r="I9" s="139"/>
      <c r="J9" s="140"/>
      <c r="K9" s="113">
        <f t="shared" si="0"/>
        <v>1.1888742521027211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>
        <f t="shared" si="1"/>
        <v>0.47156041260511689</v>
      </c>
      <c r="G10" s="104">
        <f t="shared" si="2"/>
        <v>0.25875362402016255</v>
      </c>
      <c r="H10" s="108" t="str">
        <f t="shared" si="3"/>
        <v/>
      </c>
      <c r="I10" s="139"/>
      <c r="J10" s="140"/>
      <c r="K10" s="114">
        <f t="shared" si="0"/>
        <v>1.7303140366252796</v>
      </c>
      <c r="L10" s="9"/>
      <c r="M10" s="81" t="s">
        <v>63</v>
      </c>
      <c r="N10" s="60">
        <v>1</v>
      </c>
      <c r="O10" s="63">
        <v>0.42028635740280151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>
        <f t="shared" si="2"/>
        <v>4.5033989099955694</v>
      </c>
      <c r="H11" s="127">
        <f t="shared" si="3"/>
        <v>3.433388896608236</v>
      </c>
      <c r="I11" s="141"/>
      <c r="J11" s="142"/>
      <c r="K11" s="128">
        <f t="shared" si="0"/>
        <v>8.9367878066038049</v>
      </c>
      <c r="L11" s="9" t="s">
        <v>58</v>
      </c>
      <c r="M11" s="79" t="s">
        <v>51</v>
      </c>
      <c r="N11" s="59">
        <v>1</v>
      </c>
      <c r="O11" s="54">
        <v>0.70463716983795166</v>
      </c>
      <c r="P11" s="59">
        <f>IF(O11&gt;0.5,1,0)</f>
        <v>1</v>
      </c>
      <c r="Q11" s="54">
        <v>0.85158473253250122</v>
      </c>
      <c r="R11" s="54">
        <f t="shared" si="4"/>
        <v>0.47156041260511689</v>
      </c>
      <c r="S11" s="54">
        <v>1</v>
      </c>
      <c r="T11" s="58">
        <f>S11*R11</f>
        <v>0.47156041260511689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0.61400437355041504</v>
      </c>
      <c r="R13" s="114">
        <f t="shared" si="4"/>
        <v>0.34000158137138697</v>
      </c>
      <c r="S13" s="33">
        <v>100</v>
      </c>
      <c r="T13" s="134">
        <f>S13*(R13)</f>
        <v>34.000158137138698</v>
      </c>
    </row>
    <row r="14" spans="4:27" ht="30.75" thickBot="1" x14ac:dyDescent="0.3">
      <c r="D14" s="9"/>
      <c r="I14" s="148" t="str">
        <f>WeaponRoller!I5</f>
        <v>Targetted Ranged Energy</v>
      </c>
    </row>
    <row r="15" spans="4:27" ht="15.75" thickBot="1" x14ac:dyDescent="0.3">
      <c r="D15" s="13" t="s">
        <v>12</v>
      </c>
      <c r="E15" s="130">
        <v>50</v>
      </c>
      <c r="F15" s="136">
        <f>T13</f>
        <v>34.000158137138698</v>
      </c>
      <c r="G15" s="136">
        <f>T26</f>
        <v>14.921613803886281</v>
      </c>
      <c r="H15" s="136">
        <f>T39</f>
        <v>68.667777932164725</v>
      </c>
      <c r="I15" s="156">
        <f>AA6</f>
        <v>151.58000627825473</v>
      </c>
      <c r="J15" s="131"/>
      <c r="K15" s="146"/>
      <c r="M15" s="51" t="s">
        <v>56</v>
      </c>
      <c r="N15" s="122"/>
      <c r="O15" s="122"/>
      <c r="P15" s="122"/>
      <c r="Q15" s="74">
        <f>SUM(Q17:Q26)</f>
        <v>3.7263797521591187</v>
      </c>
      <c r="R15" s="74">
        <f>SUM(R17:R26)</f>
        <v>1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17.543183786250086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27</v>
      </c>
      <c r="E17" s="92"/>
      <c r="F17" s="93"/>
      <c r="G17" s="93"/>
      <c r="H17" s="93"/>
      <c r="I17" s="155">
        <f>AA5*WeaponRoller!J5</f>
        <v>8.4595389071679765</v>
      </c>
      <c r="J17" s="93"/>
      <c r="K17" s="94"/>
      <c r="M17" s="78" t="s">
        <v>31</v>
      </c>
      <c r="N17" s="83">
        <v>1</v>
      </c>
      <c r="O17" s="53">
        <v>0.99884933233261108</v>
      </c>
      <c r="P17" s="83">
        <f>IF(O17&gt;0.5,1,0)</f>
        <v>1</v>
      </c>
      <c r="Q17" s="53">
        <v>0.45410144329071045</v>
      </c>
      <c r="R17" s="53">
        <f t="shared" ref="R17:R25" si="7">$M$16/$Q$15 * Q17</f>
        <v>0.12186128990948855</v>
      </c>
      <c r="S17" s="53">
        <v>0.75</v>
      </c>
      <c r="T17" s="84">
        <f>S17*R17</f>
        <v>9.1395967432116421E-2</v>
      </c>
    </row>
    <row r="18" spans="4:20" x14ac:dyDescent="0.25">
      <c r="I18" s="158">
        <f>LN(I17^2+1)*5</f>
        <v>21.422330772589106</v>
      </c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30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0.35392433404922485</v>
      </c>
      <c r="P21" s="60">
        <f t="shared" si="8"/>
        <v>0</v>
      </c>
      <c r="Q21" s="63">
        <v>0</v>
      </c>
      <c r="R21" s="63">
        <f t="shared" si="7"/>
        <v>0</v>
      </c>
      <c r="S21" s="63">
        <v>10</v>
      </c>
      <c r="T21" s="82">
        <f t="shared" si="9"/>
        <v>0</v>
      </c>
    </row>
    <row r="22" spans="4:20" ht="15.75" thickBot="1" x14ac:dyDescent="0.3">
      <c r="M22" s="80" t="s">
        <v>9</v>
      </c>
      <c r="N22" s="76">
        <v>1</v>
      </c>
      <c r="O22" s="55">
        <v>0.92003488540649414</v>
      </c>
      <c r="P22" s="76">
        <f>IF(O22&gt;0.5,1,0)</f>
        <v>1</v>
      </c>
      <c r="Q22" s="55">
        <v>0.95612400770187378</v>
      </c>
      <c r="R22" s="55">
        <f t="shared" si="7"/>
        <v>0.25658254694731036</v>
      </c>
      <c r="S22" s="55">
        <v>20</v>
      </c>
      <c r="T22" s="77">
        <f>S22*R22</f>
        <v>5.1316509389462075</v>
      </c>
    </row>
    <row r="23" spans="4:20" x14ac:dyDescent="0.25">
      <c r="M23" s="81" t="s">
        <v>63</v>
      </c>
      <c r="N23" s="60">
        <v>1</v>
      </c>
      <c r="O23" s="63">
        <v>0.58227741718292236</v>
      </c>
      <c r="P23" s="60">
        <f>IF(O23&gt;0.5,1,0)</f>
        <v>1</v>
      </c>
      <c r="Q23" s="63">
        <v>0.70381718873977661</v>
      </c>
      <c r="R23" s="63">
        <f t="shared" si="7"/>
        <v>0.18887425210272105</v>
      </c>
      <c r="S23" s="63">
        <v>1</v>
      </c>
      <c r="T23" s="82">
        <f>S23*R23</f>
        <v>0.18887425210272105</v>
      </c>
    </row>
    <row r="24" spans="4:20" x14ac:dyDescent="0.25">
      <c r="M24" s="79" t="s">
        <v>13</v>
      </c>
      <c r="N24" s="59">
        <v>1</v>
      </c>
      <c r="O24" s="54">
        <v>0.80803942680358887</v>
      </c>
      <c r="P24" s="59">
        <f>IF(O24&gt;0.5,1,0)</f>
        <v>1</v>
      </c>
      <c r="Q24" s="54">
        <v>0.9642142653465271</v>
      </c>
      <c r="R24" s="54">
        <f t="shared" si="7"/>
        <v>0.25875362402016255</v>
      </c>
      <c r="S24" s="54">
        <v>1</v>
      </c>
      <c r="T24" s="58">
        <f>S24*R24</f>
        <v>0.25875362402016255</v>
      </c>
    </row>
    <row r="25" spans="4:20" ht="15.75" thickBot="1" x14ac:dyDescent="0.3">
      <c r="M25" s="80" t="s">
        <v>15</v>
      </c>
      <c r="N25" s="76">
        <v>1</v>
      </c>
      <c r="O25" s="55">
        <v>0.7612689733505249</v>
      </c>
      <c r="P25" s="76">
        <f>IF(O25&gt;0.5,1,0)</f>
        <v>1</v>
      </c>
      <c r="Q25" s="55">
        <v>0.37010484933853149</v>
      </c>
      <c r="R25" s="55">
        <f t="shared" si="7"/>
        <v>9.9320218000886071E-2</v>
      </c>
      <c r="S25" s="55">
        <v>5</v>
      </c>
      <c r="T25" s="77">
        <f>S25*(1-R25)</f>
        <v>4.5033989099955694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0.27801799774169922</v>
      </c>
      <c r="R26" s="114">
        <f>$M$3/$Q$15 * Q26</f>
        <v>7.46080690194314E-2</v>
      </c>
      <c r="S26" s="33">
        <v>200</v>
      </c>
      <c r="T26" s="134">
        <f>S26*(R26)</f>
        <v>14.921613803886281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0.37191706895828247</v>
      </c>
      <c r="R28" s="74">
        <f>SUM(R30:R39)</f>
        <v>1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0.21007078886032104</v>
      </c>
      <c r="P31" s="59">
        <f t="shared" ref="P31:P34" si="11">IF(O31&gt;0.5,1,0)</f>
        <v>0</v>
      </c>
      <c r="Q31" s="54">
        <v>0</v>
      </c>
      <c r="R31" s="54">
        <f t="shared" si="10"/>
        <v>0</v>
      </c>
      <c r="S31" s="54">
        <v>0.75</v>
      </c>
      <c r="T31" s="61">
        <f>S31*R31</f>
        <v>0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30</v>
      </c>
      <c r="T32" s="58">
        <f>S32*(1-R32)</f>
        <v>30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0.17802679538726807</v>
      </c>
      <c r="P36" s="60">
        <f>IF(O36&gt;0.5,1,0)</f>
        <v>0</v>
      </c>
      <c r="Q36" s="63">
        <v>0</v>
      </c>
      <c r="R36" s="63">
        <f t="shared" si="10"/>
        <v>0</v>
      </c>
      <c r="S36" s="63">
        <v>1</v>
      </c>
      <c r="T36" s="82">
        <f>S36*R36</f>
        <v>0</v>
      </c>
    </row>
    <row r="37" spans="13:20" x14ac:dyDescent="0.25">
      <c r="M37" s="79" t="s">
        <v>13</v>
      </c>
      <c r="N37" s="59">
        <v>1</v>
      </c>
      <c r="O37" s="54">
        <v>0.274158775806427</v>
      </c>
      <c r="P37" s="59">
        <f>IF(O37&gt;0.5,1,0)</f>
        <v>0</v>
      </c>
      <c r="Q37" s="54">
        <v>0</v>
      </c>
      <c r="R37" s="54">
        <f t="shared" si="10"/>
        <v>0</v>
      </c>
      <c r="S37" s="54">
        <v>1</v>
      </c>
      <c r="T37" s="58">
        <f>S37*R37</f>
        <v>0</v>
      </c>
    </row>
    <row r="38" spans="13:20" ht="15.75" thickBot="1" x14ac:dyDescent="0.3">
      <c r="M38" s="80" t="s">
        <v>15</v>
      </c>
      <c r="N38" s="76">
        <v>1</v>
      </c>
      <c r="O38" s="55">
        <v>0.9857628345489502</v>
      </c>
      <c r="P38" s="76">
        <f>IF(O38&gt;0.5,1,0)</f>
        <v>1</v>
      </c>
      <c r="Q38" s="55">
        <v>0.11652988195419312</v>
      </c>
      <c r="R38" s="55">
        <f t="shared" si="10"/>
        <v>0.31332222067835275</v>
      </c>
      <c r="S38" s="55">
        <v>5</v>
      </c>
      <c r="T38" s="77">
        <f>S38*(1-R38)</f>
        <v>3.433388896608236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0.25538718700408936</v>
      </c>
      <c r="R39" s="114">
        <f>$M$3/$Q$28 * Q39</f>
        <v>0.68667777932164731</v>
      </c>
      <c r="S39" s="33">
        <v>100</v>
      </c>
      <c r="T39" s="134">
        <f>S39*(R39)</f>
        <v>68.667777932164725</v>
      </c>
    </row>
  </sheetData>
  <conditionalFormatting sqref="T13 N13 Q13:R13 N4:T12">
    <cfRule type="expression" dxfId="55" priority="27">
      <formula>$N4=0</formula>
    </cfRule>
  </conditionalFormatting>
  <conditionalFormatting sqref="T13 Q13:R13 Q4:T12">
    <cfRule type="expression" dxfId="54" priority="28">
      <formula>$P4=0</formula>
    </cfRule>
  </conditionalFormatting>
  <conditionalFormatting sqref="N17:R25 T17:T25">
    <cfRule type="expression" dxfId="53" priority="25">
      <formula>$N17=0</formula>
    </cfRule>
  </conditionalFormatting>
  <conditionalFormatting sqref="Q17:R25 T17:T25">
    <cfRule type="expression" dxfId="52" priority="26">
      <formula>$P17=0</formula>
    </cfRule>
  </conditionalFormatting>
  <conditionalFormatting sqref="N30:R38 T30:T38">
    <cfRule type="expression" dxfId="51" priority="23">
      <formula>$N30=0</formula>
    </cfRule>
  </conditionalFormatting>
  <conditionalFormatting sqref="Q30:R38 T30:T38">
    <cfRule type="expression" dxfId="50" priority="24">
      <formula>$P30=0</formula>
    </cfRule>
  </conditionalFormatting>
  <conditionalFormatting sqref="S30:S31 S34:S38">
    <cfRule type="expression" dxfId="49" priority="15">
      <formula>$N30=0</formula>
    </cfRule>
  </conditionalFormatting>
  <conditionalFormatting sqref="S17:S18 S21:S25">
    <cfRule type="expression" dxfId="48" priority="17">
      <formula>$N17=0</formula>
    </cfRule>
  </conditionalFormatting>
  <conditionalFormatting sqref="S17:S18 S21:S25">
    <cfRule type="expression" dxfId="47" priority="18">
      <formula>$P17=0</formula>
    </cfRule>
  </conditionalFormatting>
  <conditionalFormatting sqref="S30:S31 S34:S38">
    <cfRule type="expression" dxfId="46" priority="16">
      <formula>$P30=0</formula>
    </cfRule>
  </conditionalFormatting>
  <conditionalFormatting sqref="T39 N39 Q39:R39">
    <cfRule type="expression" dxfId="45" priority="11">
      <formula>$N39=0</formula>
    </cfRule>
  </conditionalFormatting>
  <conditionalFormatting sqref="T26 N26 Q26:R26">
    <cfRule type="expression" dxfId="44" priority="13">
      <formula>$N26=0</formula>
    </cfRule>
  </conditionalFormatting>
  <conditionalFormatting sqref="T26 Q26:R26">
    <cfRule type="expression" dxfId="43" priority="14">
      <formula>$P26=0</formula>
    </cfRule>
  </conditionalFormatting>
  <conditionalFormatting sqref="T39 Q39:R39">
    <cfRule type="expression" dxfId="42" priority="12">
      <formula>$P39=0</formula>
    </cfRule>
  </conditionalFormatting>
  <conditionalFormatting sqref="AA6 W4:AA5 W6:Y6">
    <cfRule type="expression" dxfId="41" priority="29">
      <formula>#REF!=0</formula>
    </cfRule>
  </conditionalFormatting>
  <conditionalFormatting sqref="AA6 W4:AA5 W6:Y6">
    <cfRule type="expression" dxfId="40" priority="30">
      <formula>#REF!=0</formula>
    </cfRule>
  </conditionalFormatting>
  <conditionalFormatting sqref="S20">
    <cfRule type="expression" dxfId="39" priority="7">
      <formula>$N20=0</formula>
    </cfRule>
  </conditionalFormatting>
  <conditionalFormatting sqref="S20">
    <cfRule type="expression" dxfId="38" priority="8">
      <formula>$P20=0</formula>
    </cfRule>
  </conditionalFormatting>
  <conditionalFormatting sqref="S33">
    <cfRule type="expression" dxfId="37" priority="5">
      <formula>$N33=0</formula>
    </cfRule>
  </conditionalFormatting>
  <conditionalFormatting sqref="S33">
    <cfRule type="expression" dxfId="36" priority="6">
      <formula>$P33=0</formula>
    </cfRule>
  </conditionalFormatting>
  <conditionalFormatting sqref="S19">
    <cfRule type="expression" dxfId="35" priority="3">
      <formula>$N19=0</formula>
    </cfRule>
  </conditionalFormatting>
  <conditionalFormatting sqref="S19">
    <cfRule type="expression" dxfId="34" priority="4">
      <formula>$P19=0</formula>
    </cfRule>
  </conditionalFormatting>
  <conditionalFormatting sqref="S32">
    <cfRule type="expression" dxfId="33" priority="1">
      <formula>$N32=0</formula>
    </cfRule>
  </conditionalFormatting>
  <conditionalFormatting sqref="S32">
    <cfRule type="expression" dxfId="32" priority="2">
      <formula>$P32=0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9:O20"/>
  <sheetViews>
    <sheetView topLeftCell="A7" workbookViewId="0">
      <selection activeCell="P7" sqref="E7:P7"/>
    </sheetView>
  </sheetViews>
  <sheetFormatPr defaultRowHeight="15" x14ac:dyDescent="0.25"/>
  <cols>
    <col min="5" max="5" width="19.42578125" bestFit="1" customWidth="1"/>
    <col min="6" max="6" width="5" bestFit="1" customWidth="1"/>
    <col min="7" max="7" width="1.5703125" bestFit="1" customWidth="1"/>
    <col min="8" max="8" width="19.42578125" bestFit="1" customWidth="1"/>
    <col min="9" max="9" width="4.5703125" bestFit="1" customWidth="1"/>
    <col min="10" max="10" width="1.5703125" bestFit="1" customWidth="1"/>
    <col min="11" max="11" width="19.42578125" bestFit="1" customWidth="1"/>
    <col min="12" max="12" width="4.5703125" bestFit="1" customWidth="1"/>
    <col min="13" max="13" width="1.5703125" bestFit="1" customWidth="1"/>
    <col min="14" max="14" width="19.42578125" bestFit="1" customWidth="1"/>
    <col min="15" max="15" width="4.5703125" bestFit="1" customWidth="1"/>
  </cols>
  <sheetData>
    <row r="9" spans="5:15" ht="15.75" thickBot="1" x14ac:dyDescent="0.3"/>
    <row r="10" spans="5:15" ht="15.75" thickBot="1" x14ac:dyDescent="0.3">
      <c r="E10" s="242" t="s">
        <v>117</v>
      </c>
      <c r="F10" s="243"/>
      <c r="H10" s="242" t="s">
        <v>118</v>
      </c>
      <c r="I10" s="243"/>
      <c r="K10" s="242" t="s">
        <v>116</v>
      </c>
      <c r="L10" s="243"/>
      <c r="N10" s="242" t="s">
        <v>145</v>
      </c>
      <c r="O10" s="243"/>
    </row>
    <row r="11" spans="5:15" x14ac:dyDescent="0.25">
      <c r="E11" s="241" t="s">
        <v>31</v>
      </c>
      <c r="F11" s="234">
        <v>0.25</v>
      </c>
      <c r="H11" s="235" t="s">
        <v>31</v>
      </c>
      <c r="I11" s="244">
        <v>0.75</v>
      </c>
      <c r="K11" s="235" t="s">
        <v>31</v>
      </c>
      <c r="L11" s="234">
        <v>0.5</v>
      </c>
      <c r="N11" s="235" t="s">
        <v>31</v>
      </c>
      <c r="O11" s="234">
        <v>0.7</v>
      </c>
    </row>
    <row r="12" spans="5:15" x14ac:dyDescent="0.25">
      <c r="E12" s="236" t="s">
        <v>32</v>
      </c>
      <c r="F12" s="234">
        <v>0.8</v>
      </c>
      <c r="H12" s="236" t="s">
        <v>32</v>
      </c>
      <c r="I12" s="234">
        <v>0.3</v>
      </c>
      <c r="K12" s="236" t="s">
        <v>32</v>
      </c>
      <c r="L12" s="234">
        <v>0.5</v>
      </c>
      <c r="N12" s="236" t="s">
        <v>32</v>
      </c>
      <c r="O12" s="234">
        <v>0.25</v>
      </c>
    </row>
    <row r="13" spans="5:15" x14ac:dyDescent="0.25">
      <c r="E13" s="44" t="s">
        <v>5</v>
      </c>
      <c r="F13" s="3">
        <v>15</v>
      </c>
      <c r="H13" s="44" t="s">
        <v>5</v>
      </c>
      <c r="I13" s="3">
        <v>40</v>
      </c>
      <c r="K13" s="44" t="s">
        <v>5</v>
      </c>
      <c r="L13" s="3">
        <v>20</v>
      </c>
      <c r="N13" s="44" t="s">
        <v>5</v>
      </c>
      <c r="O13" s="3">
        <v>35</v>
      </c>
    </row>
    <row r="14" spans="5:15" ht="15.75" thickBot="1" x14ac:dyDescent="0.3">
      <c r="E14" s="236" t="s">
        <v>6</v>
      </c>
      <c r="F14" s="3">
        <v>1</v>
      </c>
      <c r="H14" s="236" t="s">
        <v>6</v>
      </c>
      <c r="I14" s="3">
        <v>1</v>
      </c>
      <c r="K14" s="236" t="s">
        <v>6</v>
      </c>
      <c r="L14" s="3">
        <v>3</v>
      </c>
      <c r="N14" s="236" t="s">
        <v>6</v>
      </c>
      <c r="O14" s="3">
        <v>2</v>
      </c>
    </row>
    <row r="15" spans="5:15" x14ac:dyDescent="0.25">
      <c r="E15" s="237" t="s">
        <v>8</v>
      </c>
      <c r="F15" s="3">
        <v>0</v>
      </c>
      <c r="H15" s="237" t="s">
        <v>8</v>
      </c>
      <c r="I15" s="3">
        <v>0</v>
      </c>
      <c r="K15" s="237" t="s">
        <v>8</v>
      </c>
      <c r="L15" s="3">
        <v>2</v>
      </c>
      <c r="N15" s="237" t="s">
        <v>8</v>
      </c>
      <c r="O15" s="3">
        <v>1</v>
      </c>
    </row>
    <row r="16" spans="5:15" ht="15.75" thickBot="1" x14ac:dyDescent="0.3">
      <c r="E16" s="181" t="s">
        <v>49</v>
      </c>
      <c r="F16" s="3">
        <v>1</v>
      </c>
      <c r="H16" s="181" t="s">
        <v>49</v>
      </c>
      <c r="I16" s="3">
        <v>0</v>
      </c>
      <c r="K16" s="181" t="s">
        <v>49</v>
      </c>
      <c r="L16" s="3">
        <v>2</v>
      </c>
      <c r="N16" s="181" t="s">
        <v>49</v>
      </c>
      <c r="O16" s="3">
        <v>0</v>
      </c>
    </row>
    <row r="17" spans="5:15" x14ac:dyDescent="0.25">
      <c r="E17" s="238" t="s">
        <v>50</v>
      </c>
      <c r="F17" s="3">
        <v>1.25</v>
      </c>
      <c r="H17" s="238" t="s">
        <v>50</v>
      </c>
      <c r="I17" s="3">
        <v>1</v>
      </c>
      <c r="K17" s="238" t="s">
        <v>50</v>
      </c>
      <c r="L17" s="3">
        <v>0.6</v>
      </c>
      <c r="N17" s="238" t="s">
        <v>50</v>
      </c>
      <c r="O17" s="3">
        <v>1.2</v>
      </c>
    </row>
    <row r="18" spans="5:15" ht="15.75" thickBot="1" x14ac:dyDescent="0.3">
      <c r="E18" s="239" t="s">
        <v>51</v>
      </c>
      <c r="F18" s="3">
        <v>1.25</v>
      </c>
      <c r="H18" s="239" t="s">
        <v>51</v>
      </c>
      <c r="I18" s="3">
        <v>1.2</v>
      </c>
      <c r="K18" s="239" t="s">
        <v>51</v>
      </c>
      <c r="L18" s="3">
        <v>0.6</v>
      </c>
      <c r="N18" s="239" t="s">
        <v>51</v>
      </c>
      <c r="O18" s="3">
        <v>1</v>
      </c>
    </row>
    <row r="19" spans="5:15" ht="15.75" thickBot="1" x14ac:dyDescent="0.3">
      <c r="E19" s="240" t="s">
        <v>15</v>
      </c>
      <c r="F19" s="3">
        <v>1.5</v>
      </c>
      <c r="H19" s="240" t="s">
        <v>15</v>
      </c>
      <c r="I19" s="3">
        <v>1</v>
      </c>
      <c r="K19" s="240" t="s">
        <v>15</v>
      </c>
      <c r="L19" s="3">
        <v>2</v>
      </c>
      <c r="N19" s="240" t="s">
        <v>15</v>
      </c>
      <c r="O19" s="3">
        <v>2.5</v>
      </c>
    </row>
    <row r="20" spans="5:15" ht="15.75" thickBot="1" x14ac:dyDescent="0.3">
      <c r="E20" s="239" t="s">
        <v>12</v>
      </c>
      <c r="F20" s="6">
        <v>30</v>
      </c>
      <c r="H20" s="239" t="s">
        <v>12</v>
      </c>
      <c r="I20" s="6">
        <v>40</v>
      </c>
      <c r="K20" s="239" t="s">
        <v>120</v>
      </c>
      <c r="L20" s="6">
        <v>60</v>
      </c>
      <c r="N20" s="239" t="s">
        <v>120</v>
      </c>
      <c r="O20" s="6">
        <v>50</v>
      </c>
    </row>
  </sheetData>
  <mergeCells count="4">
    <mergeCell ref="E10:F10"/>
    <mergeCell ref="H10:I10"/>
    <mergeCell ref="K10:L10"/>
    <mergeCell ref="N10:O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I25" sqref="I25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Targetted Ranged Energy</v>
      </c>
      <c r="J5" s="52">
        <f>IF(F7="x",J7,IF(F8="x",J8,IF(F9="x",J9,IF(F10="x",J10,IF(F11="x",J11,IF(F12="x",J12,IF(F13="x",J13,IF(F14="x",J14,IF(F15="x",J15,IF(F16="x",J16,""))))))))))</f>
        <v>1.5</v>
      </c>
    </row>
    <row r="6" spans="2:13" ht="15.75" thickBot="1" x14ac:dyDescent="0.3">
      <c r="B6" s="46" t="s">
        <v>18</v>
      </c>
      <c r="C6" s="47"/>
      <c r="G6" s="38">
        <v>0.39676433801651001</v>
      </c>
      <c r="H6" s="38">
        <f>COUNTA(I7:I16)</f>
        <v>10</v>
      </c>
      <c r="I6" s="147" t="s">
        <v>64</v>
      </c>
      <c r="J6" t="s">
        <v>72</v>
      </c>
      <c r="M6" s="147" t="s">
        <v>65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/>
      </c>
      <c r="G7" s="56">
        <f>H7/$H$6-0.1</f>
        <v>0</v>
      </c>
      <c r="H7" s="7">
        <v>1</v>
      </c>
      <c r="I7" s="43" t="s">
        <v>66</v>
      </c>
      <c r="J7" s="43">
        <f>$C$7*$C$12</f>
        <v>2.25</v>
      </c>
      <c r="M7" s="44" t="s">
        <v>73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69</v>
      </c>
      <c r="J8" s="44">
        <f>$C$7*$C$13</f>
        <v>1.5</v>
      </c>
      <c r="M8" s="44" t="s">
        <v>74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/>
      </c>
      <c r="G9" s="56">
        <f t="shared" si="0"/>
        <v>0.19999999999999998</v>
      </c>
      <c r="H9" s="7">
        <v>3</v>
      </c>
      <c r="I9" s="44" t="s">
        <v>67</v>
      </c>
      <c r="J9" s="44">
        <f>$C$7*$C$12</f>
        <v>2.25</v>
      </c>
      <c r="M9" s="44" t="s">
        <v>75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>x</v>
      </c>
      <c r="G10" s="56">
        <f t="shared" si="0"/>
        <v>0.30000000000000004</v>
      </c>
      <c r="H10" s="7">
        <v>4</v>
      </c>
      <c r="I10" s="45" t="s">
        <v>68</v>
      </c>
      <c r="J10" s="44">
        <f>$C$7*$C$13</f>
        <v>1.5</v>
      </c>
      <c r="M10" s="44" t="s">
        <v>76</v>
      </c>
    </row>
    <row r="11" spans="2:13" x14ac:dyDescent="0.25">
      <c r="B11" s="48" t="s">
        <v>60</v>
      </c>
      <c r="C11" s="47"/>
      <c r="F11" t="str">
        <f t="shared" si="1"/>
        <v/>
      </c>
      <c r="G11" s="56">
        <f t="shared" si="0"/>
        <v>0.4</v>
      </c>
      <c r="H11" s="7">
        <v>5</v>
      </c>
      <c r="I11" s="43" t="s">
        <v>82</v>
      </c>
      <c r="J11" s="43">
        <f>$C$8*$C$13</f>
        <v>0.33</v>
      </c>
      <c r="M11" s="44" t="s">
        <v>77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81</v>
      </c>
      <c r="J12" s="44">
        <f>$C$8*$C$13</f>
        <v>0.33</v>
      </c>
      <c r="M12" s="44" t="s">
        <v>78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79</v>
      </c>
      <c r="J13" s="44">
        <f>$C$9*$C$12</f>
        <v>0.495</v>
      </c>
      <c r="M13" s="44"/>
    </row>
    <row r="14" spans="2:13" ht="15.75" thickBot="1" x14ac:dyDescent="0.3">
      <c r="B14" s="48" t="s">
        <v>37</v>
      </c>
      <c r="C14" s="47"/>
      <c r="F14" t="str">
        <f t="shared" si="1"/>
        <v/>
      </c>
      <c r="G14" s="56">
        <f t="shared" si="0"/>
        <v>0.70000000000000007</v>
      </c>
      <c r="H14" s="7">
        <v>8</v>
      </c>
      <c r="I14" s="45" t="s">
        <v>80</v>
      </c>
      <c r="J14" s="45">
        <f>$C$9*$C$12</f>
        <v>0.495</v>
      </c>
      <c r="M14" s="44"/>
    </row>
    <row r="15" spans="2:13" x14ac:dyDescent="0.25">
      <c r="B15" s="44" t="s">
        <v>61</v>
      </c>
      <c r="C15" s="47"/>
      <c r="F15" t="str">
        <f t="shared" si="1"/>
        <v/>
      </c>
      <c r="G15" s="56">
        <f t="shared" si="0"/>
        <v>0.8</v>
      </c>
      <c r="H15" s="7">
        <v>9</v>
      </c>
      <c r="I15" s="43" t="s">
        <v>70</v>
      </c>
      <c r="J15" s="44">
        <f>C10</f>
        <v>0.75</v>
      </c>
      <c r="M15" s="44"/>
    </row>
    <row r="16" spans="2:13" ht="15.75" thickBot="1" x14ac:dyDescent="0.3">
      <c r="B16" s="45" t="s">
        <v>62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71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2:N27"/>
  <sheetViews>
    <sheetView tabSelected="1" topLeftCell="C1" workbookViewId="0">
      <selection activeCell="M24" sqref="M24"/>
    </sheetView>
  </sheetViews>
  <sheetFormatPr defaultRowHeight="15" x14ac:dyDescent="0.25"/>
  <cols>
    <col min="7" max="7" width="26.140625" bestFit="1" customWidth="1"/>
    <col min="8" max="8" width="1.85546875" bestFit="1" customWidth="1"/>
    <col min="9" max="9" width="30" bestFit="1" customWidth="1"/>
    <col min="10" max="11" width="5.85546875" style="227" bestFit="1" customWidth="1"/>
    <col min="12" max="12" width="9.140625" style="227" bestFit="1" customWidth="1"/>
    <col min="13" max="13" width="8.28515625" style="7" bestFit="1" customWidth="1"/>
    <col min="14" max="14" width="9.140625" style="227"/>
    <col min="16" max="16" width="30" bestFit="1" customWidth="1"/>
  </cols>
  <sheetData>
    <row r="2" spans="8:14" ht="15.75" thickBot="1" x14ac:dyDescent="0.3"/>
    <row r="3" spans="8:14" ht="15.75" thickBot="1" x14ac:dyDescent="0.3">
      <c r="I3" s="206"/>
      <c r="J3" s="230">
        <f>MechRoller!I17</f>
        <v>8.4595389071679765</v>
      </c>
    </row>
    <row r="4" spans="8:14" ht="15.75" thickBot="1" x14ac:dyDescent="0.3">
      <c r="I4" t="s">
        <v>65</v>
      </c>
      <c r="J4" s="227" t="s">
        <v>27</v>
      </c>
      <c r="K4" s="227" t="s">
        <v>107</v>
      </c>
      <c r="L4" s="227" t="s">
        <v>110</v>
      </c>
      <c r="M4" s="7" t="s">
        <v>108</v>
      </c>
      <c r="N4" s="227" t="s">
        <v>109</v>
      </c>
    </row>
    <row r="5" spans="8:14" x14ac:dyDescent="0.25">
      <c r="H5" t="s">
        <v>90</v>
      </c>
      <c r="I5" s="226" t="s">
        <v>82</v>
      </c>
      <c r="J5" s="228">
        <f>$J$3</f>
        <v>8.4595389071679765</v>
      </c>
      <c r="K5" s="227">
        <v>0.33</v>
      </c>
      <c r="L5" s="229">
        <f>J5*K5</f>
        <v>2.7916478393654325</v>
      </c>
      <c r="M5" s="158">
        <f>LN(L5^2+1)*5</f>
        <v>10.869949008208398</v>
      </c>
      <c r="N5" s="227" t="s">
        <v>7</v>
      </c>
    </row>
    <row r="6" spans="8:14" x14ac:dyDescent="0.25">
      <c r="H6" t="s">
        <v>90</v>
      </c>
      <c r="I6" s="182" t="s">
        <v>81</v>
      </c>
      <c r="J6" s="228">
        <f t="shared" ref="J6:J14" si="0">$J$3</f>
        <v>8.4595389071679765</v>
      </c>
      <c r="K6" s="227">
        <v>0.33</v>
      </c>
      <c r="L6" s="229">
        <f t="shared" ref="L6:L14" si="1">J6*K6</f>
        <v>2.7916478393654325</v>
      </c>
      <c r="M6" s="158">
        <f t="shared" ref="M6:M10" si="2">LN(L6^2+1)*5</f>
        <v>10.869949008208398</v>
      </c>
      <c r="N6" s="227" t="s">
        <v>7</v>
      </c>
    </row>
    <row r="7" spans="8:14" x14ac:dyDescent="0.25">
      <c r="H7" t="s">
        <v>90</v>
      </c>
      <c r="I7" s="44" t="s">
        <v>79</v>
      </c>
      <c r="J7" s="228">
        <f t="shared" si="0"/>
        <v>8.4595389071679765</v>
      </c>
      <c r="K7" s="227">
        <v>0.495</v>
      </c>
      <c r="L7" s="229">
        <f t="shared" si="1"/>
        <v>4.1874717590481483</v>
      </c>
      <c r="M7" s="158">
        <f t="shared" si="2"/>
        <v>14.598282530100608</v>
      </c>
      <c r="N7" s="227" t="s">
        <v>7</v>
      </c>
    </row>
    <row r="8" spans="8:14" x14ac:dyDescent="0.25">
      <c r="H8" t="s">
        <v>90</v>
      </c>
      <c r="I8" s="44" t="s">
        <v>80</v>
      </c>
      <c r="J8" s="228">
        <f t="shared" si="0"/>
        <v>8.4595389071679765</v>
      </c>
      <c r="K8" s="227">
        <v>0.495</v>
      </c>
      <c r="L8" s="229">
        <f t="shared" si="1"/>
        <v>4.1874717590481483</v>
      </c>
      <c r="M8" s="158">
        <f t="shared" si="2"/>
        <v>14.598282530100608</v>
      </c>
      <c r="N8" s="227" t="s">
        <v>7</v>
      </c>
    </row>
    <row r="9" spans="8:14" x14ac:dyDescent="0.25">
      <c r="H9" t="s">
        <v>90</v>
      </c>
      <c r="I9" s="44" t="s">
        <v>70</v>
      </c>
      <c r="J9" s="228">
        <f t="shared" si="0"/>
        <v>8.4595389071679765</v>
      </c>
      <c r="K9" s="227">
        <v>0.75</v>
      </c>
      <c r="L9" s="229">
        <f t="shared" si="1"/>
        <v>6.3446541803759828</v>
      </c>
      <c r="M9" s="158">
        <f t="shared" si="2"/>
        <v>18.59881755275093</v>
      </c>
      <c r="N9" s="227" t="s">
        <v>7</v>
      </c>
    </row>
    <row r="10" spans="8:14" x14ac:dyDescent="0.25">
      <c r="I10" s="44" t="s">
        <v>71</v>
      </c>
      <c r="J10" s="228">
        <f t="shared" si="0"/>
        <v>8.4595389071679765</v>
      </c>
      <c r="K10" s="227">
        <v>0.75</v>
      </c>
      <c r="L10" s="229">
        <f t="shared" si="1"/>
        <v>6.3446541803759828</v>
      </c>
      <c r="M10" s="158">
        <f t="shared" si="2"/>
        <v>18.59881755275093</v>
      </c>
      <c r="N10" s="227" t="s">
        <v>7</v>
      </c>
    </row>
    <row r="11" spans="8:14" x14ac:dyDescent="0.25">
      <c r="I11" s="44" t="s">
        <v>73</v>
      </c>
      <c r="J11" s="228">
        <f t="shared" si="0"/>
        <v>8.4595389071679765</v>
      </c>
      <c r="K11" s="227">
        <v>1</v>
      </c>
      <c r="L11" s="229">
        <f t="shared" si="1"/>
        <v>8.4595389071679765</v>
      </c>
      <c r="M11" s="158">
        <f>LN(L11^2+1)*2</f>
        <v>8.5689323090356417</v>
      </c>
      <c r="N11" s="227" t="s">
        <v>36</v>
      </c>
    </row>
    <row r="12" spans="8:14" x14ac:dyDescent="0.25">
      <c r="I12" s="44" t="s">
        <v>105</v>
      </c>
      <c r="J12" s="228">
        <f t="shared" si="0"/>
        <v>8.4595389071679765</v>
      </c>
      <c r="K12" s="227">
        <v>1</v>
      </c>
      <c r="L12" s="229">
        <f t="shared" si="1"/>
        <v>8.4595389071679765</v>
      </c>
      <c r="M12" s="7">
        <f>(L12*0.05) + 1</f>
        <v>1.4229769453583989</v>
      </c>
      <c r="N12" s="227" t="s">
        <v>115</v>
      </c>
    </row>
    <row r="13" spans="8:14" x14ac:dyDescent="0.25">
      <c r="H13" t="s">
        <v>90</v>
      </c>
      <c r="I13" s="44" t="s">
        <v>111</v>
      </c>
      <c r="J13" s="228">
        <f t="shared" si="0"/>
        <v>8.4595389071679765</v>
      </c>
      <c r="K13" s="227">
        <v>1</v>
      </c>
      <c r="L13" s="229">
        <f t="shared" si="1"/>
        <v>8.4595389071679765</v>
      </c>
      <c r="M13" s="158">
        <f t="shared" ref="M13" si="3">LN(L13^2+1)*5</f>
        <v>21.422330772589106</v>
      </c>
      <c r="N13" s="227" t="s">
        <v>7</v>
      </c>
    </row>
    <row r="14" spans="8:14" ht="15.75" thickBot="1" x14ac:dyDescent="0.3">
      <c r="I14" s="45" t="s">
        <v>78</v>
      </c>
      <c r="J14" s="228">
        <f t="shared" si="0"/>
        <v>8.4595389071679765</v>
      </c>
      <c r="K14" s="227">
        <v>1</v>
      </c>
      <c r="L14" s="229">
        <f t="shared" si="1"/>
        <v>8.4595389071679765</v>
      </c>
      <c r="M14" s="158">
        <f>L14/2+3</f>
        <v>7.2297694535839883</v>
      </c>
      <c r="N14" s="227" t="s">
        <v>112</v>
      </c>
    </row>
    <row r="17" spans="8:14" ht="15.75" thickBot="1" x14ac:dyDescent="0.3">
      <c r="I17" t="s">
        <v>64</v>
      </c>
    </row>
    <row r="18" spans="8:14" x14ac:dyDescent="0.25">
      <c r="H18" t="s">
        <v>90</v>
      </c>
      <c r="I18" s="226" t="s">
        <v>68</v>
      </c>
      <c r="J18" s="228">
        <f t="shared" ref="J18:J25" si="4">$J$3</f>
        <v>8.4595389071679765</v>
      </c>
      <c r="K18" s="227">
        <v>1.5</v>
      </c>
      <c r="L18" s="229">
        <f t="shared" ref="L18:L25" si="5">J18*K18</f>
        <v>12.689308360751966</v>
      </c>
      <c r="M18" s="158">
        <f t="shared" ref="M18:M21" si="6">LN(L18^2+1)*5</f>
        <v>25.438554071614597</v>
      </c>
      <c r="N18" s="227" t="s">
        <v>7</v>
      </c>
    </row>
    <row r="19" spans="8:14" x14ac:dyDescent="0.25">
      <c r="H19" t="s">
        <v>90</v>
      </c>
      <c r="I19" s="182" t="s">
        <v>69</v>
      </c>
      <c r="J19" s="228">
        <f t="shared" si="4"/>
        <v>8.4595389071679765</v>
      </c>
      <c r="K19" s="227">
        <v>1.5</v>
      </c>
      <c r="L19" s="229">
        <f t="shared" si="5"/>
        <v>12.689308360751966</v>
      </c>
      <c r="M19" s="158">
        <f t="shared" si="6"/>
        <v>25.438554071614597</v>
      </c>
      <c r="N19" s="227" t="s">
        <v>7</v>
      </c>
    </row>
    <row r="20" spans="8:14" x14ac:dyDescent="0.25">
      <c r="H20" t="s">
        <v>90</v>
      </c>
      <c r="I20" s="44" t="s">
        <v>67</v>
      </c>
      <c r="J20" s="228">
        <f t="shared" si="4"/>
        <v>8.4595389071679765</v>
      </c>
      <c r="K20" s="227">
        <v>2.25</v>
      </c>
      <c r="L20" s="229">
        <f t="shared" si="5"/>
        <v>19.033962541127948</v>
      </c>
      <c r="M20" s="158">
        <f t="shared" si="6"/>
        <v>29.476030877293692</v>
      </c>
      <c r="N20" s="227" t="s">
        <v>7</v>
      </c>
    </row>
    <row r="21" spans="8:14" x14ac:dyDescent="0.25">
      <c r="H21" t="s">
        <v>90</v>
      </c>
      <c r="I21" s="44" t="s">
        <v>66</v>
      </c>
      <c r="J21" s="228">
        <f t="shared" si="4"/>
        <v>8.4595389071679765</v>
      </c>
      <c r="K21" s="227">
        <v>2.25</v>
      </c>
      <c r="L21" s="229">
        <f t="shared" si="5"/>
        <v>19.033962541127948</v>
      </c>
      <c r="M21" s="158">
        <f t="shared" si="6"/>
        <v>29.476030877293692</v>
      </c>
      <c r="N21" s="227" t="s">
        <v>7</v>
      </c>
    </row>
    <row r="22" spans="8:14" x14ac:dyDescent="0.25">
      <c r="I22" s="181" t="s">
        <v>102</v>
      </c>
      <c r="J22" s="228">
        <f t="shared" si="4"/>
        <v>8.4595389071679765</v>
      </c>
      <c r="K22" s="227">
        <v>1</v>
      </c>
      <c r="L22" s="229">
        <f t="shared" si="5"/>
        <v>8.4595389071679765</v>
      </c>
      <c r="M22" s="7" t="s">
        <v>119</v>
      </c>
      <c r="N22" s="227" t="s">
        <v>113</v>
      </c>
    </row>
    <row r="23" spans="8:14" x14ac:dyDescent="0.25">
      <c r="I23" s="181" t="s">
        <v>103</v>
      </c>
      <c r="J23" s="228">
        <f t="shared" si="4"/>
        <v>8.4595389071679765</v>
      </c>
      <c r="K23" s="227">
        <v>1</v>
      </c>
      <c r="L23" s="229">
        <f t="shared" si="5"/>
        <v>8.4595389071679765</v>
      </c>
      <c r="M23" s="7">
        <f>1/((L12*0.05) + 1)</f>
        <v>0.70275207427772801</v>
      </c>
      <c r="N23" s="227" t="s">
        <v>115</v>
      </c>
    </row>
    <row r="24" spans="8:14" x14ac:dyDescent="0.25">
      <c r="I24" s="181" t="s">
        <v>104</v>
      </c>
      <c r="J24" s="228">
        <f t="shared" si="4"/>
        <v>8.4595389071679765</v>
      </c>
      <c r="K24" s="227">
        <v>1</v>
      </c>
      <c r="L24" s="229">
        <f t="shared" si="5"/>
        <v>8.4595389071679765</v>
      </c>
      <c r="M24" s="7" t="s">
        <v>119</v>
      </c>
      <c r="N24" s="227" t="s">
        <v>114</v>
      </c>
    </row>
    <row r="25" spans="8:14" x14ac:dyDescent="0.25">
      <c r="H25" t="s">
        <v>90</v>
      </c>
      <c r="I25" s="44" t="s">
        <v>106</v>
      </c>
      <c r="J25" s="228">
        <f t="shared" si="4"/>
        <v>8.4595389071679765</v>
      </c>
      <c r="K25" s="227">
        <v>0.8</v>
      </c>
      <c r="L25" s="229">
        <f t="shared" si="5"/>
        <v>6.7676311257343817</v>
      </c>
      <c r="M25" s="158">
        <f t="shared" ref="M25" si="7">LN(L25^2+1)*5</f>
        <v>19.229504801651142</v>
      </c>
      <c r="N25" s="227" t="s">
        <v>7</v>
      </c>
    </row>
    <row r="26" spans="8:14" x14ac:dyDescent="0.25">
      <c r="I26" s="44"/>
    </row>
    <row r="27" spans="8:14" ht="15.75" thickBot="1" x14ac:dyDescent="0.3">
      <c r="I27" s="4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L15" sqref="L15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84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84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30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9" priority="3" operator="equal">
      <formula>"h"</formula>
    </cfRule>
    <cfRule type="cellIs" dxfId="28" priority="4" operator="equal">
      <formula>"d"</formula>
    </cfRule>
    <cfRule type="cellIs" dxfId="27" priority="5" operator="equal">
      <formula>"o"</formula>
    </cfRule>
    <cfRule type="cellIs" dxfId="26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F31" activeCellId="1" sqref="C2:AF31 AF30:AG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" si="0">D1+1</f>
        <v>3</v>
      </c>
      <c r="F1" s="7">
        <f t="shared" ref="F1" si="1">E1+1</f>
        <v>4</v>
      </c>
      <c r="G1" s="7">
        <f t="shared" ref="G1" si="2">F1+1</f>
        <v>5</v>
      </c>
      <c r="H1" s="7">
        <f t="shared" ref="H1" si="3">G1+1</f>
        <v>6</v>
      </c>
      <c r="I1" s="7">
        <f t="shared" ref="I1" si="4">H1+1</f>
        <v>7</v>
      </c>
      <c r="J1" s="7">
        <f t="shared" ref="J1" si="5">I1+1</f>
        <v>8</v>
      </c>
      <c r="K1" s="7">
        <f t="shared" ref="K1" si="6">J1+1</f>
        <v>9</v>
      </c>
      <c r="L1" s="7">
        <f t="shared" ref="L1" si="7">K1+1</f>
        <v>10</v>
      </c>
      <c r="M1" s="7">
        <f t="shared" ref="M1" si="8">L1+1</f>
        <v>11</v>
      </c>
      <c r="N1" s="7">
        <f t="shared" ref="N1" si="9">M1+1</f>
        <v>12</v>
      </c>
      <c r="O1" s="7">
        <f t="shared" ref="O1" si="10">N1+1</f>
        <v>13</v>
      </c>
      <c r="P1" s="7">
        <f t="shared" ref="P1" si="11">O1+1</f>
        <v>14</v>
      </c>
      <c r="Q1" s="7">
        <f t="shared" ref="Q1" si="12">P1+1</f>
        <v>15</v>
      </c>
      <c r="R1" s="7">
        <f t="shared" ref="R1" si="13">Q1+1</f>
        <v>16</v>
      </c>
      <c r="S1" s="7">
        <f t="shared" ref="S1" si="14">R1+1</f>
        <v>17</v>
      </c>
      <c r="T1" s="7">
        <f t="shared" ref="T1" si="15">S1+1</f>
        <v>18</v>
      </c>
      <c r="U1" s="7">
        <f t="shared" ref="U1" si="16">T1+1</f>
        <v>19</v>
      </c>
      <c r="V1" s="7">
        <f t="shared" ref="V1" si="17">U1+1</f>
        <v>20</v>
      </c>
      <c r="W1" s="7">
        <f t="shared" ref="W1" si="18">V1+1</f>
        <v>21</v>
      </c>
      <c r="X1" s="7">
        <f t="shared" ref="X1" si="19">W1+1</f>
        <v>22</v>
      </c>
      <c r="Y1" s="7">
        <f t="shared" ref="Y1" si="20">X1+1</f>
        <v>23</v>
      </c>
      <c r="Z1" s="7">
        <f t="shared" ref="Z1" si="21">Y1+1</f>
        <v>24</v>
      </c>
      <c r="AA1" s="7">
        <f t="shared" ref="AA1" si="22">Z1+1</f>
        <v>25</v>
      </c>
      <c r="AB1" s="7">
        <f t="shared" ref="AB1" si="23">AA1+1</f>
        <v>26</v>
      </c>
      <c r="AC1" s="7">
        <f t="shared" ref="AC1:AF1" si="24">AB1+1</f>
        <v>27</v>
      </c>
      <c r="AD1" s="7">
        <f t="shared" si="24"/>
        <v>28</v>
      </c>
      <c r="AE1" s="7">
        <f t="shared" si="24"/>
        <v>29</v>
      </c>
      <c r="AF1" s="7">
        <f t="shared" si="24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86</v>
      </c>
      <c r="R3" s="7" t="s">
        <v>88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16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25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86</v>
      </c>
      <c r="R4" s="7" t="s">
        <v>88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16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25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86</v>
      </c>
      <c r="R5" s="7" t="s">
        <v>88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16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25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16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86</v>
      </c>
      <c r="R6" s="7" t="s">
        <v>88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25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16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86</v>
      </c>
      <c r="R7" s="7" t="s">
        <v>88</v>
      </c>
      <c r="S7" s="7" t="s">
        <v>88</v>
      </c>
      <c r="T7" s="7" t="s">
        <v>16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25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88</v>
      </c>
      <c r="K8" s="7" t="s">
        <v>88</v>
      </c>
      <c r="L8" s="7" t="s">
        <v>88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88</v>
      </c>
      <c r="S8" s="7" t="s">
        <v>88</v>
      </c>
      <c r="T8" s="7" t="s">
        <v>16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25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16</v>
      </c>
      <c r="H9" s="7" t="s">
        <v>16</v>
      </c>
      <c r="I9" s="7" t="s">
        <v>16</v>
      </c>
      <c r="J9" s="7" t="s">
        <v>88</v>
      </c>
      <c r="K9" s="7" t="s">
        <v>88</v>
      </c>
      <c r="L9" s="7" t="s">
        <v>88</v>
      </c>
      <c r="M9" s="7" t="s">
        <v>88</v>
      </c>
      <c r="N9" s="7" t="s">
        <v>16</v>
      </c>
      <c r="O9" s="7" t="s">
        <v>16</v>
      </c>
      <c r="P9" s="7" t="s">
        <v>16</v>
      </c>
      <c r="Q9" s="7" t="s">
        <v>16</v>
      </c>
      <c r="R9" s="7" t="s">
        <v>88</v>
      </c>
      <c r="S9" s="7" t="s">
        <v>88</v>
      </c>
      <c r="T9" s="7" t="s">
        <v>16</v>
      </c>
      <c r="U9" s="7" t="s">
        <v>16</v>
      </c>
      <c r="V9" s="7" t="s">
        <v>16</v>
      </c>
      <c r="W9" s="7" t="s">
        <v>16</v>
      </c>
      <c r="X9" s="7" t="s">
        <v>16</v>
      </c>
      <c r="Y9" s="7" t="s">
        <v>16</v>
      </c>
      <c r="Z9" s="7" t="s">
        <v>16</v>
      </c>
      <c r="AA9" s="7" t="s">
        <v>16</v>
      </c>
      <c r="AB9" s="7" t="s">
        <v>16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25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88</v>
      </c>
      <c r="K10" s="7" t="s">
        <v>88</v>
      </c>
      <c r="L10" s="7" t="s">
        <v>88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88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25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88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88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25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16</v>
      </c>
      <c r="L12" s="7" t="s">
        <v>84</v>
      </c>
      <c r="M12" s="7" t="s">
        <v>84</v>
      </c>
      <c r="N12" s="7" t="s">
        <v>86</v>
      </c>
      <c r="O12" s="7" t="s">
        <v>86</v>
      </c>
      <c r="P12" s="7" t="s">
        <v>86</v>
      </c>
      <c r="Q12" s="7" t="s">
        <v>84</v>
      </c>
      <c r="R12" s="7" t="s">
        <v>84</v>
      </c>
      <c r="S12" s="7" t="s">
        <v>86</v>
      </c>
      <c r="T12" s="7" t="s">
        <v>86</v>
      </c>
      <c r="U12" s="7" t="s">
        <v>86</v>
      </c>
      <c r="V12" s="7" t="s">
        <v>86</v>
      </c>
      <c r="W12" s="7" t="s">
        <v>84</v>
      </c>
      <c r="X12" s="7" t="s">
        <v>84</v>
      </c>
      <c r="Y12" s="7" t="s">
        <v>88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25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16</v>
      </c>
      <c r="L13" s="7" t="s">
        <v>84</v>
      </c>
      <c r="M13" s="7" t="s">
        <v>84</v>
      </c>
      <c r="N13" s="7" t="s">
        <v>86</v>
      </c>
      <c r="O13" s="7" t="s">
        <v>88</v>
      </c>
      <c r="P13" s="7" t="s">
        <v>88</v>
      </c>
      <c r="Q13" s="7" t="s">
        <v>84</v>
      </c>
      <c r="R13" s="7" t="s">
        <v>84</v>
      </c>
      <c r="S13" s="7" t="s">
        <v>88</v>
      </c>
      <c r="T13" s="7" t="s">
        <v>88</v>
      </c>
      <c r="U13" s="7" t="s">
        <v>88</v>
      </c>
      <c r="V13" s="7" t="s">
        <v>86</v>
      </c>
      <c r="W13" s="7" t="s">
        <v>84</v>
      </c>
      <c r="X13" s="7" t="s">
        <v>84</v>
      </c>
      <c r="Y13" s="7" t="s">
        <v>88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25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16</v>
      </c>
      <c r="L14" s="7" t="s">
        <v>84</v>
      </c>
      <c r="M14" s="7" t="s">
        <v>84</v>
      </c>
      <c r="N14" s="7" t="s">
        <v>86</v>
      </c>
      <c r="O14" s="7" t="s">
        <v>88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88</v>
      </c>
      <c r="V14" s="7" t="s">
        <v>86</v>
      </c>
      <c r="W14" s="7" t="s">
        <v>84</v>
      </c>
      <c r="X14" s="7" t="s">
        <v>84</v>
      </c>
      <c r="Y14" s="7" t="s">
        <v>88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25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88</v>
      </c>
      <c r="L15" s="7" t="s">
        <v>84</v>
      </c>
      <c r="M15" s="7" t="s">
        <v>84</v>
      </c>
      <c r="N15" s="7" t="s">
        <v>86</v>
      </c>
      <c r="O15" s="7" t="s">
        <v>88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88</v>
      </c>
      <c r="V15" s="7" t="s">
        <v>86</v>
      </c>
      <c r="W15" s="7" t="s">
        <v>84</v>
      </c>
      <c r="X15" s="7" t="s">
        <v>84</v>
      </c>
      <c r="Y15" s="7" t="s">
        <v>88</v>
      </c>
      <c r="Z15" s="7" t="s">
        <v>86</v>
      </c>
      <c r="AA15" s="7" t="s">
        <v>86</v>
      </c>
      <c r="AB15" s="7" t="s">
        <v>86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25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88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88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88</v>
      </c>
      <c r="Z16" s="7" t="s">
        <v>88</v>
      </c>
      <c r="AA16" s="7" t="s">
        <v>88</v>
      </c>
      <c r="AB16" s="7" t="s">
        <v>88</v>
      </c>
      <c r="AC16" s="7" t="s">
        <v>88</v>
      </c>
      <c r="AD16" s="7" t="s">
        <v>88</v>
      </c>
      <c r="AE16" s="7" t="s">
        <v>88</v>
      </c>
      <c r="AF16" s="7" t="s">
        <v>16</v>
      </c>
    </row>
    <row r="17" spans="2:32" x14ac:dyDescent="0.25">
      <c r="B17" s="7">
        <f t="shared" si="25"/>
        <v>16</v>
      </c>
      <c r="C17" s="7" t="s">
        <v>16</v>
      </c>
      <c r="D17" s="7" t="s">
        <v>88</v>
      </c>
      <c r="E17" s="7" t="s">
        <v>88</v>
      </c>
      <c r="F17" s="7" t="s">
        <v>88</v>
      </c>
      <c r="G17" s="7" t="s">
        <v>88</v>
      </c>
      <c r="H17" s="7" t="s">
        <v>88</v>
      </c>
      <c r="I17" s="7" t="s">
        <v>88</v>
      </c>
      <c r="J17" s="7" t="s">
        <v>88</v>
      </c>
      <c r="K17" s="7" t="s">
        <v>88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88</v>
      </c>
      <c r="R17" s="7" t="s">
        <v>16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88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25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86</v>
      </c>
      <c r="I18" s="7" t="s">
        <v>86</v>
      </c>
      <c r="J18" s="7" t="s">
        <v>86</v>
      </c>
      <c r="K18" s="7" t="s">
        <v>88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88</v>
      </c>
      <c r="S18" s="7" t="s">
        <v>84</v>
      </c>
      <c r="T18" s="7" t="s">
        <v>84</v>
      </c>
      <c r="U18" s="7" t="s">
        <v>88</v>
      </c>
      <c r="V18" s="7" t="s">
        <v>86</v>
      </c>
      <c r="W18" s="7" t="s">
        <v>84</v>
      </c>
      <c r="X18" s="7" t="s">
        <v>84</v>
      </c>
      <c r="Y18" s="7" t="s">
        <v>88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25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88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88</v>
      </c>
      <c r="V19" s="7" t="s">
        <v>86</v>
      </c>
      <c r="W19" s="7" t="s">
        <v>84</v>
      </c>
      <c r="X19" s="7" t="s">
        <v>84</v>
      </c>
      <c r="Y19" s="7" t="s">
        <v>16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25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88</v>
      </c>
      <c r="L20" s="7" t="s">
        <v>84</v>
      </c>
      <c r="M20" s="7" t="s">
        <v>84</v>
      </c>
      <c r="N20" s="7" t="s">
        <v>86</v>
      </c>
      <c r="O20" s="7" t="s">
        <v>88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88</v>
      </c>
      <c r="V20" s="7" t="s">
        <v>86</v>
      </c>
      <c r="W20" s="7" t="s">
        <v>84</v>
      </c>
      <c r="X20" s="7" t="s">
        <v>84</v>
      </c>
      <c r="Y20" s="7" t="s">
        <v>16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25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16</v>
      </c>
      <c r="I21" s="7" t="s">
        <v>16</v>
      </c>
      <c r="J21" s="7" t="s">
        <v>16</v>
      </c>
      <c r="K21" s="7" t="s">
        <v>16</v>
      </c>
      <c r="L21" s="7" t="s">
        <v>84</v>
      </c>
      <c r="M21" s="7" t="s">
        <v>84</v>
      </c>
      <c r="N21" s="7" t="s">
        <v>86</v>
      </c>
      <c r="O21" s="7" t="s">
        <v>88</v>
      </c>
      <c r="P21" s="7" t="s">
        <v>84</v>
      </c>
      <c r="Q21" s="7" t="s">
        <v>84</v>
      </c>
      <c r="R21" s="7" t="s">
        <v>88</v>
      </c>
      <c r="S21" s="7" t="s">
        <v>88</v>
      </c>
      <c r="T21" s="7" t="s">
        <v>88</v>
      </c>
      <c r="U21" s="7" t="s">
        <v>88</v>
      </c>
      <c r="V21" s="7" t="s">
        <v>86</v>
      </c>
      <c r="W21" s="7" t="s">
        <v>84</v>
      </c>
      <c r="X21" s="7" t="s">
        <v>84</v>
      </c>
      <c r="Y21" s="7" t="s">
        <v>16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25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86</v>
      </c>
      <c r="L22" s="7" t="s">
        <v>84</v>
      </c>
      <c r="M22" s="7" t="s">
        <v>84</v>
      </c>
      <c r="N22" s="7" t="s">
        <v>86</v>
      </c>
      <c r="O22" s="7" t="s">
        <v>86</v>
      </c>
      <c r="P22" s="7" t="s">
        <v>84</v>
      </c>
      <c r="Q22" s="7" t="s">
        <v>84</v>
      </c>
      <c r="R22" s="7" t="s">
        <v>86</v>
      </c>
      <c r="S22" s="7" t="s">
        <v>86</v>
      </c>
      <c r="T22" s="7" t="s">
        <v>86</v>
      </c>
      <c r="U22" s="7" t="s">
        <v>86</v>
      </c>
      <c r="V22" s="7" t="s">
        <v>86</v>
      </c>
      <c r="W22" s="7" t="s">
        <v>84</v>
      </c>
      <c r="X22" s="7" t="s">
        <v>84</v>
      </c>
      <c r="Y22" s="7" t="s">
        <v>16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25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16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25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86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25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16</v>
      </c>
      <c r="L25" s="7" t="s">
        <v>88</v>
      </c>
      <c r="M25" s="7" t="s">
        <v>88</v>
      </c>
      <c r="N25" s="7" t="s">
        <v>88</v>
      </c>
      <c r="O25" s="7" t="s">
        <v>16</v>
      </c>
      <c r="P25" s="7" t="s">
        <v>16</v>
      </c>
      <c r="Q25" s="7" t="s">
        <v>16</v>
      </c>
      <c r="R25" s="7" t="s">
        <v>16</v>
      </c>
      <c r="S25" s="7" t="s">
        <v>88</v>
      </c>
      <c r="T25" s="7" t="s">
        <v>88</v>
      </c>
      <c r="U25" s="7" t="s">
        <v>16</v>
      </c>
      <c r="V25" s="7" t="s">
        <v>88</v>
      </c>
      <c r="W25" s="7" t="s">
        <v>88</v>
      </c>
      <c r="X25" s="7" t="s">
        <v>88</v>
      </c>
      <c r="Y25" s="7" t="s">
        <v>88</v>
      </c>
      <c r="Z25" s="7" t="s">
        <v>16</v>
      </c>
      <c r="AA25" s="7" t="s">
        <v>16</v>
      </c>
      <c r="AB25" s="7" t="s">
        <v>16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25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16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86</v>
      </c>
      <c r="S26" s="7" t="s">
        <v>88</v>
      </c>
      <c r="T26" s="7" t="s">
        <v>88</v>
      </c>
      <c r="U26" s="7" t="s">
        <v>16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25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16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86</v>
      </c>
      <c r="S27" s="7" t="s">
        <v>88</v>
      </c>
      <c r="T27" s="7" t="s">
        <v>88</v>
      </c>
      <c r="U27" s="7" t="s">
        <v>16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25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16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86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25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86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25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86</v>
      </c>
      <c r="S30" s="7" t="s">
        <v>88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25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4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3" priority="3" operator="equal">
      <formula>"h"</formula>
    </cfRule>
    <cfRule type="cellIs" dxfId="22" priority="4" operator="equal">
      <formula>"d"</formula>
    </cfRule>
    <cfRule type="cellIs" dxfId="21" priority="5" operator="equal">
      <formula>"o"</formula>
    </cfRule>
    <cfRule type="cellIs" dxfId="20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K32" sqref="AK32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88</v>
      </c>
      <c r="P5" s="7" t="s">
        <v>86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86</v>
      </c>
      <c r="X5" s="7" t="s">
        <v>88</v>
      </c>
      <c r="Y5" s="7" t="s">
        <v>88</v>
      </c>
      <c r="Z5" s="7" t="s">
        <v>88</v>
      </c>
      <c r="AA5" s="7" t="s">
        <v>84</v>
      </c>
      <c r="AB5" s="7" t="s">
        <v>84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16</v>
      </c>
      <c r="H6" s="7" t="s">
        <v>88</v>
      </c>
      <c r="I6" s="7" t="s">
        <v>88</v>
      </c>
      <c r="J6" s="7" t="s">
        <v>88</v>
      </c>
      <c r="K6" s="7" t="s">
        <v>88</v>
      </c>
      <c r="L6" s="7" t="s">
        <v>88</v>
      </c>
      <c r="M6" s="7" t="s">
        <v>84</v>
      </c>
      <c r="N6" s="7" t="s">
        <v>84</v>
      </c>
      <c r="O6" s="7" t="s">
        <v>88</v>
      </c>
      <c r="P6" s="7" t="s">
        <v>86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86</v>
      </c>
      <c r="X6" s="7" t="s">
        <v>88</v>
      </c>
      <c r="Y6" s="7" t="s">
        <v>88</v>
      </c>
      <c r="Z6" s="7" t="s">
        <v>88</v>
      </c>
      <c r="AA6" s="7" t="s">
        <v>84</v>
      </c>
      <c r="AB6" s="7" t="s">
        <v>84</v>
      </c>
      <c r="AC6" s="7" t="s">
        <v>16</v>
      </c>
      <c r="AD6" s="7" t="s">
        <v>88</v>
      </c>
      <c r="AE6" s="7" t="s">
        <v>88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16</v>
      </c>
      <c r="H7" s="7" t="s">
        <v>88</v>
      </c>
      <c r="I7" s="7" t="s">
        <v>88</v>
      </c>
      <c r="J7" s="7" t="s">
        <v>88</v>
      </c>
      <c r="K7" s="7" t="s">
        <v>88</v>
      </c>
      <c r="L7" s="7" t="s">
        <v>88</v>
      </c>
      <c r="M7" s="7" t="s">
        <v>84</v>
      </c>
      <c r="N7" s="7" t="s">
        <v>84</v>
      </c>
      <c r="O7" s="7" t="s">
        <v>88</v>
      </c>
      <c r="P7" s="7" t="s">
        <v>88</v>
      </c>
      <c r="Q7" s="7" t="s">
        <v>86</v>
      </c>
      <c r="R7" s="7" t="s">
        <v>86</v>
      </c>
      <c r="S7" s="7" t="s">
        <v>16</v>
      </c>
      <c r="T7" s="7" t="s">
        <v>16</v>
      </c>
      <c r="U7" s="7" t="s">
        <v>86</v>
      </c>
      <c r="V7" s="7" t="s">
        <v>86</v>
      </c>
      <c r="W7" s="7" t="s">
        <v>88</v>
      </c>
      <c r="X7" s="7" t="s">
        <v>88</v>
      </c>
      <c r="Y7" s="7" t="s">
        <v>16</v>
      </c>
      <c r="Z7" s="7" t="s">
        <v>16</v>
      </c>
      <c r="AA7" s="7" t="s">
        <v>84</v>
      </c>
      <c r="AB7" s="7" t="s">
        <v>84</v>
      </c>
      <c r="AC7" s="7" t="s">
        <v>88</v>
      </c>
      <c r="AD7" s="7" t="s">
        <v>88</v>
      </c>
      <c r="AE7" s="7" t="s">
        <v>88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16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16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86</v>
      </c>
      <c r="H10" s="7" t="s">
        <v>84</v>
      </c>
      <c r="I10" s="7" t="s">
        <v>84</v>
      </c>
      <c r="J10" s="7" t="s">
        <v>88</v>
      </c>
      <c r="K10" s="7" t="s">
        <v>84</v>
      </c>
      <c r="L10" s="7" t="s">
        <v>84</v>
      </c>
      <c r="M10" s="7" t="s">
        <v>88</v>
      </c>
      <c r="N10" s="7" t="s">
        <v>88</v>
      </c>
      <c r="O10" s="7" t="s">
        <v>84</v>
      </c>
      <c r="P10" s="7" t="s">
        <v>84</v>
      </c>
      <c r="Q10" s="7" t="s">
        <v>88</v>
      </c>
      <c r="R10" s="7" t="s">
        <v>88</v>
      </c>
      <c r="S10" s="7" t="s">
        <v>84</v>
      </c>
      <c r="T10" s="7" t="s">
        <v>84</v>
      </c>
      <c r="U10" s="7" t="s">
        <v>88</v>
      </c>
      <c r="V10" s="7" t="s">
        <v>88</v>
      </c>
      <c r="W10" s="7" t="s">
        <v>84</v>
      </c>
      <c r="X10" s="7" t="s">
        <v>84</v>
      </c>
      <c r="Y10" s="7" t="s">
        <v>88</v>
      </c>
      <c r="Z10" s="7" t="s">
        <v>88</v>
      </c>
      <c r="AA10" s="7" t="s">
        <v>84</v>
      </c>
      <c r="AB10" s="7" t="s">
        <v>84</v>
      </c>
      <c r="AC10" s="7" t="s">
        <v>88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86</v>
      </c>
      <c r="H11" s="7" t="s">
        <v>84</v>
      </c>
      <c r="I11" s="7" t="s">
        <v>84</v>
      </c>
      <c r="J11" s="7" t="s">
        <v>88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88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86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16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16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88</v>
      </c>
      <c r="M14" s="7" t="s">
        <v>88</v>
      </c>
      <c r="N14" s="7" t="s">
        <v>84</v>
      </c>
      <c r="O14" s="7" t="s">
        <v>84</v>
      </c>
      <c r="P14" s="7" t="s">
        <v>88</v>
      </c>
      <c r="Q14" s="7" t="s">
        <v>88</v>
      </c>
      <c r="R14" s="7" t="s">
        <v>84</v>
      </c>
      <c r="S14" s="7" t="s">
        <v>84</v>
      </c>
      <c r="T14" s="7" t="s">
        <v>88</v>
      </c>
      <c r="U14" s="7" t="s">
        <v>88</v>
      </c>
      <c r="V14" s="7" t="s">
        <v>84</v>
      </c>
      <c r="W14" s="7" t="s">
        <v>84</v>
      </c>
      <c r="X14" s="7" t="s">
        <v>88</v>
      </c>
      <c r="Y14" s="7" t="s">
        <v>88</v>
      </c>
      <c r="Z14" s="7" t="s">
        <v>84</v>
      </c>
      <c r="AA14" s="7" t="s">
        <v>84</v>
      </c>
      <c r="AB14" s="7" t="s">
        <v>88</v>
      </c>
      <c r="AC14" s="7" t="s">
        <v>88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16</v>
      </c>
      <c r="H15" s="7" t="s">
        <v>84</v>
      </c>
      <c r="I15" s="7" t="s">
        <v>84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16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16</v>
      </c>
      <c r="H17" s="7" t="s">
        <v>88</v>
      </c>
      <c r="I17" s="7" t="s">
        <v>88</v>
      </c>
      <c r="J17" s="7" t="s">
        <v>88</v>
      </c>
      <c r="K17" s="7" t="s">
        <v>88</v>
      </c>
      <c r="L17" s="7" t="s">
        <v>88</v>
      </c>
      <c r="M17" s="7" t="s">
        <v>88</v>
      </c>
      <c r="N17" s="7" t="s">
        <v>88</v>
      </c>
      <c r="O17" s="7" t="s">
        <v>88</v>
      </c>
      <c r="P17" s="7" t="s">
        <v>88</v>
      </c>
      <c r="Q17" s="7" t="s">
        <v>88</v>
      </c>
      <c r="R17" s="7" t="s">
        <v>88</v>
      </c>
      <c r="S17" s="7" t="s">
        <v>88</v>
      </c>
      <c r="T17" s="7" t="s">
        <v>88</v>
      </c>
      <c r="U17" s="7" t="s">
        <v>88</v>
      </c>
      <c r="V17" s="7" t="s">
        <v>88</v>
      </c>
      <c r="W17" s="7" t="s">
        <v>16</v>
      </c>
      <c r="X17" s="7" t="s">
        <v>86</v>
      </c>
      <c r="Y17" s="7" t="s">
        <v>86</v>
      </c>
      <c r="Z17" s="7" t="s">
        <v>86</v>
      </c>
      <c r="AA17" s="7" t="s">
        <v>86</v>
      </c>
      <c r="AB17" s="7" t="s">
        <v>16</v>
      </c>
      <c r="AC17" s="7" t="s">
        <v>88</v>
      </c>
      <c r="AD17" s="7" t="s">
        <v>88</v>
      </c>
      <c r="AE17" s="7" t="s">
        <v>88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86</v>
      </c>
      <c r="P18" s="7" t="s">
        <v>84</v>
      </c>
      <c r="Q18" s="7" t="s">
        <v>84</v>
      </c>
      <c r="R18" s="7" t="s">
        <v>84</v>
      </c>
      <c r="S18" s="7" t="s">
        <v>16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16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86</v>
      </c>
      <c r="P19" s="7" t="s">
        <v>84</v>
      </c>
      <c r="Q19" s="7" t="s">
        <v>84</v>
      </c>
      <c r="R19" s="7" t="s">
        <v>84</v>
      </c>
      <c r="S19" s="7" t="s">
        <v>16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16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86</v>
      </c>
      <c r="P20" s="7" t="s">
        <v>84</v>
      </c>
      <c r="Q20" s="7" t="s">
        <v>84</v>
      </c>
      <c r="R20" s="7" t="s">
        <v>84</v>
      </c>
      <c r="S20" s="7" t="s">
        <v>16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16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16</v>
      </c>
      <c r="J21" s="7" t="s">
        <v>16</v>
      </c>
      <c r="K21" s="7" t="s">
        <v>16</v>
      </c>
      <c r="L21" s="7" t="s">
        <v>16</v>
      </c>
      <c r="M21" s="7" t="s">
        <v>16</v>
      </c>
      <c r="N21" s="7" t="s">
        <v>16</v>
      </c>
      <c r="O21" s="7" t="s">
        <v>16</v>
      </c>
      <c r="P21" s="7" t="s">
        <v>84</v>
      </c>
      <c r="Q21" s="7" t="s">
        <v>84</v>
      </c>
      <c r="R21" s="7" t="s">
        <v>84</v>
      </c>
      <c r="S21" s="7" t="s">
        <v>16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16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16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16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86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16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16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86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16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86</v>
      </c>
      <c r="Q24" s="7" t="s">
        <v>86</v>
      </c>
      <c r="R24" s="7" t="s">
        <v>86</v>
      </c>
      <c r="S24" s="7" t="s">
        <v>16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86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16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16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16</v>
      </c>
      <c r="Y25" s="7" t="s">
        <v>16</v>
      </c>
      <c r="Z25" s="7" t="s">
        <v>16</v>
      </c>
      <c r="AA25" s="7" t="s">
        <v>16</v>
      </c>
      <c r="AB25" s="7" t="s">
        <v>16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16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16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16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16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16</v>
      </c>
      <c r="R27" s="7" t="s">
        <v>16</v>
      </c>
      <c r="S27" s="7" t="s">
        <v>16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16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88</v>
      </c>
      <c r="I28" s="7" t="s">
        <v>88</v>
      </c>
      <c r="J28" s="7" t="s">
        <v>88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88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88</v>
      </c>
      <c r="X28" s="7" t="s">
        <v>88</v>
      </c>
      <c r="Y28" s="7" t="s">
        <v>88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88</v>
      </c>
      <c r="I29" s="7" t="s">
        <v>88</v>
      </c>
      <c r="J29" s="7" t="s">
        <v>88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88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88</v>
      </c>
      <c r="X29" s="7" t="s">
        <v>88</v>
      </c>
      <c r="Y29" s="7" t="s">
        <v>88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88</v>
      </c>
      <c r="I30" s="7" t="s">
        <v>88</v>
      </c>
      <c r="J30" s="7" t="s">
        <v>88</v>
      </c>
      <c r="K30" s="7" t="s">
        <v>84</v>
      </c>
      <c r="L30" s="7" t="s">
        <v>84</v>
      </c>
      <c r="M30" s="7" t="s">
        <v>90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88</v>
      </c>
      <c r="S30" s="7" t="s">
        <v>88</v>
      </c>
      <c r="T30" s="7" t="s">
        <v>84</v>
      </c>
      <c r="U30" s="7" t="s">
        <v>90</v>
      </c>
      <c r="V30" s="7" t="s">
        <v>84</v>
      </c>
      <c r="W30" s="7" t="s">
        <v>88</v>
      </c>
      <c r="X30" s="7" t="s">
        <v>88</v>
      </c>
      <c r="Y30" s="7" t="s">
        <v>88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19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18" priority="3" operator="equal">
      <formula>"h"</formula>
    </cfRule>
    <cfRule type="cellIs" dxfId="17" priority="4" operator="equal">
      <formula>"d"</formula>
    </cfRule>
    <cfRule type="cellIs" dxfId="16" priority="5" operator="equal">
      <formula>"o"</formula>
    </cfRule>
    <cfRule type="cellIs" dxfId="15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16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90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16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16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88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88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16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16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88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88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88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88</v>
      </c>
      <c r="M6" s="7" t="s">
        <v>88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88</v>
      </c>
      <c r="W6" s="7" t="s">
        <v>88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88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88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88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88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86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88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88</v>
      </c>
      <c r="J9" s="7" t="s">
        <v>16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86</v>
      </c>
      <c r="Q9" s="7" t="s">
        <v>84</v>
      </c>
      <c r="R9" s="7" t="s">
        <v>84</v>
      </c>
      <c r="S9" s="7" t="s">
        <v>86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16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88</v>
      </c>
      <c r="J10" s="7" t="s">
        <v>88</v>
      </c>
      <c r="K10" s="7" t="s">
        <v>16</v>
      </c>
      <c r="L10" s="7" t="s">
        <v>84</v>
      </c>
      <c r="M10" s="7" t="s">
        <v>84</v>
      </c>
      <c r="N10" s="7" t="s">
        <v>84</v>
      </c>
      <c r="O10" s="7" t="s">
        <v>88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88</v>
      </c>
      <c r="U10" s="7" t="s">
        <v>84</v>
      </c>
      <c r="V10" s="7" t="s">
        <v>84</v>
      </c>
      <c r="W10" s="7" t="s">
        <v>84</v>
      </c>
      <c r="X10" s="7" t="s">
        <v>16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86</v>
      </c>
      <c r="J11" s="7" t="s">
        <v>84</v>
      </c>
      <c r="K11" s="7" t="s">
        <v>84</v>
      </c>
      <c r="L11" s="7" t="s">
        <v>88</v>
      </c>
      <c r="M11" s="7" t="s">
        <v>88</v>
      </c>
      <c r="N11" s="7" t="s">
        <v>88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88</v>
      </c>
      <c r="V11" s="7" t="s">
        <v>88</v>
      </c>
      <c r="W11" s="7" t="s">
        <v>88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16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86</v>
      </c>
      <c r="J12" s="7" t="s">
        <v>84</v>
      </c>
      <c r="K12" s="7" t="s">
        <v>84</v>
      </c>
      <c r="L12" s="7" t="s">
        <v>84</v>
      </c>
      <c r="M12" s="7" t="s">
        <v>88</v>
      </c>
      <c r="N12" s="7" t="s">
        <v>88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88</v>
      </c>
      <c r="V12" s="7" t="s">
        <v>88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16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16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16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16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90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16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16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16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84</v>
      </c>
      <c r="AA14" s="7" t="s">
        <v>86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88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88</v>
      </c>
      <c r="Q15" s="7" t="s">
        <v>84</v>
      </c>
      <c r="R15" s="7" t="s">
        <v>84</v>
      </c>
      <c r="S15" s="7" t="s">
        <v>88</v>
      </c>
      <c r="T15" s="7" t="s">
        <v>84</v>
      </c>
      <c r="U15" s="7" t="s">
        <v>84</v>
      </c>
      <c r="V15" s="7" t="s">
        <v>84</v>
      </c>
      <c r="W15" s="7" t="s">
        <v>88</v>
      </c>
      <c r="X15" s="7" t="s">
        <v>84</v>
      </c>
      <c r="Y15" s="7" t="s">
        <v>84</v>
      </c>
      <c r="Z15" s="7" t="s">
        <v>84</v>
      </c>
      <c r="AA15" s="7" t="s">
        <v>86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88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88</v>
      </c>
      <c r="R16" s="7" t="s">
        <v>88</v>
      </c>
      <c r="S16" s="7" t="s">
        <v>84</v>
      </c>
      <c r="T16" s="7" t="s">
        <v>84</v>
      </c>
      <c r="U16" s="7" t="s">
        <v>84</v>
      </c>
      <c r="V16" s="7" t="s">
        <v>88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86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88</v>
      </c>
      <c r="R17" s="7" t="s">
        <v>88</v>
      </c>
      <c r="S17" s="7" t="s">
        <v>84</v>
      </c>
      <c r="T17" s="7" t="s">
        <v>84</v>
      </c>
      <c r="U17" s="7" t="s">
        <v>84</v>
      </c>
      <c r="V17" s="7" t="s">
        <v>88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16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86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88</v>
      </c>
      <c r="Q18" s="7" t="s">
        <v>84</v>
      </c>
      <c r="R18" s="7" t="s">
        <v>84</v>
      </c>
      <c r="S18" s="7" t="s">
        <v>88</v>
      </c>
      <c r="T18" s="7" t="s">
        <v>84</v>
      </c>
      <c r="U18" s="7" t="s">
        <v>84</v>
      </c>
      <c r="V18" s="7" t="s">
        <v>84</v>
      </c>
      <c r="W18" s="7" t="s">
        <v>88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16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16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16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16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16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16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86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88</v>
      </c>
      <c r="G21" s="7" t="s">
        <v>88</v>
      </c>
      <c r="H21" s="7" t="s">
        <v>16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88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88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86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88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88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88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90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88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16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16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88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88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88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16</v>
      </c>
      <c r="Q26" s="7" t="s">
        <v>16</v>
      </c>
      <c r="R26" s="7" t="s">
        <v>86</v>
      </c>
      <c r="S26" s="7" t="s">
        <v>86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88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88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86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86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88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86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86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16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16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88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16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16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90</v>
      </c>
      <c r="S30" s="7" t="s">
        <v>84</v>
      </c>
      <c r="T30" s="7" t="s">
        <v>84</v>
      </c>
      <c r="U30" s="7" t="s">
        <v>88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16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14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13" priority="3" operator="equal">
      <formula>"h"</formula>
    </cfRule>
    <cfRule type="cellIs" dxfId="12" priority="4" operator="equal">
      <formula>"d"</formula>
    </cfRule>
    <cfRule type="cellIs" dxfId="11" priority="5" operator="equal">
      <formula>"o"</formula>
    </cfRule>
    <cfRule type="cellIs" dxfId="10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B33" sqref="AB33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16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16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88</v>
      </c>
      <c r="E5" s="7" t="s">
        <v>88</v>
      </c>
      <c r="F5" s="7" t="s">
        <v>88</v>
      </c>
      <c r="G5" s="7" t="s">
        <v>88</v>
      </c>
      <c r="H5" s="7" t="s">
        <v>88</v>
      </c>
      <c r="I5" s="7" t="s">
        <v>16</v>
      </c>
      <c r="J5" s="7" t="s">
        <v>16</v>
      </c>
      <c r="K5" s="7" t="s">
        <v>16</v>
      </c>
      <c r="L5" s="7" t="s">
        <v>16</v>
      </c>
      <c r="M5" s="7" t="s">
        <v>16</v>
      </c>
      <c r="N5" s="7" t="s">
        <v>84</v>
      </c>
      <c r="O5" s="7" t="s">
        <v>84</v>
      </c>
      <c r="P5" s="7" t="s">
        <v>16</v>
      </c>
      <c r="Q5" s="7" t="s">
        <v>86</v>
      </c>
      <c r="R5" s="7" t="s">
        <v>86</v>
      </c>
      <c r="S5" s="7" t="s">
        <v>16</v>
      </c>
      <c r="T5" s="7" t="s">
        <v>16</v>
      </c>
      <c r="U5" s="7" t="s">
        <v>16</v>
      </c>
      <c r="V5" s="7" t="s">
        <v>16</v>
      </c>
      <c r="W5" s="7" t="s">
        <v>16</v>
      </c>
      <c r="X5" s="7" t="s">
        <v>16</v>
      </c>
      <c r="Y5" s="7" t="s">
        <v>16</v>
      </c>
      <c r="Z5" s="7" t="s">
        <v>16</v>
      </c>
      <c r="AA5" s="7" t="s">
        <v>16</v>
      </c>
      <c r="AB5" s="7" t="s">
        <v>88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86</v>
      </c>
      <c r="G6" s="7" t="s">
        <v>86</v>
      </c>
      <c r="H6" s="7" t="s">
        <v>86</v>
      </c>
      <c r="I6" s="7" t="s">
        <v>88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88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86</v>
      </c>
      <c r="G7" s="7" t="s">
        <v>86</v>
      </c>
      <c r="H7" s="7" t="s">
        <v>86</v>
      </c>
      <c r="I7" s="7" t="s">
        <v>88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88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88</v>
      </c>
      <c r="J8" s="7" t="s">
        <v>88</v>
      </c>
      <c r="K8" s="7" t="s">
        <v>16</v>
      </c>
      <c r="L8" s="7" t="s">
        <v>16</v>
      </c>
      <c r="M8" s="7" t="s">
        <v>16</v>
      </c>
      <c r="N8" s="7" t="s">
        <v>16</v>
      </c>
      <c r="O8" s="7" t="s">
        <v>16</v>
      </c>
      <c r="P8" s="7" t="s">
        <v>16</v>
      </c>
      <c r="Q8" s="7" t="s">
        <v>86</v>
      </c>
      <c r="R8" s="7" t="s">
        <v>86</v>
      </c>
      <c r="S8" s="7" t="s">
        <v>16</v>
      </c>
      <c r="T8" s="7" t="s">
        <v>16</v>
      </c>
      <c r="U8" s="7" t="s">
        <v>16</v>
      </c>
      <c r="V8" s="7" t="s">
        <v>84</v>
      </c>
      <c r="W8" s="7" t="s">
        <v>84</v>
      </c>
      <c r="X8" s="7" t="s">
        <v>16</v>
      </c>
      <c r="Y8" s="7" t="s">
        <v>16</v>
      </c>
      <c r="Z8" s="7" t="s">
        <v>16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88</v>
      </c>
      <c r="J9" s="7" t="s">
        <v>88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16</v>
      </c>
      <c r="AA9" s="7" t="s">
        <v>84</v>
      </c>
      <c r="AB9" s="7" t="s">
        <v>84</v>
      </c>
      <c r="AC9" s="7" t="s">
        <v>84</v>
      </c>
      <c r="AD9" s="7" t="s">
        <v>88</v>
      </c>
      <c r="AE9" s="7" t="s">
        <v>88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16</v>
      </c>
      <c r="G10" s="7" t="s">
        <v>84</v>
      </c>
      <c r="H10" s="7" t="s">
        <v>84</v>
      </c>
      <c r="I10" s="7" t="s">
        <v>16</v>
      </c>
      <c r="J10" s="7" t="s">
        <v>84</v>
      </c>
      <c r="K10" s="7" t="s">
        <v>88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16</v>
      </c>
      <c r="AA10" s="7" t="s">
        <v>84</v>
      </c>
      <c r="AB10" s="7" t="s">
        <v>84</v>
      </c>
      <c r="AC10" s="7" t="s">
        <v>16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16</v>
      </c>
      <c r="G11" s="7" t="s">
        <v>84</v>
      </c>
      <c r="H11" s="7" t="s">
        <v>84</v>
      </c>
      <c r="I11" s="7" t="s">
        <v>16</v>
      </c>
      <c r="J11" s="7" t="s">
        <v>84</v>
      </c>
      <c r="K11" s="7" t="s">
        <v>84</v>
      </c>
      <c r="L11" s="7" t="s">
        <v>88</v>
      </c>
      <c r="M11" s="7" t="s">
        <v>88</v>
      </c>
      <c r="N11" s="7" t="s">
        <v>88</v>
      </c>
      <c r="O11" s="7" t="s">
        <v>84</v>
      </c>
      <c r="P11" s="7" t="s">
        <v>84</v>
      </c>
      <c r="Q11" s="7" t="s">
        <v>86</v>
      </c>
      <c r="R11" s="7" t="s">
        <v>86</v>
      </c>
      <c r="S11" s="7" t="s">
        <v>16</v>
      </c>
      <c r="T11" s="7" t="s">
        <v>16</v>
      </c>
      <c r="U11" s="7" t="s">
        <v>16</v>
      </c>
      <c r="V11" s="7" t="s">
        <v>88</v>
      </c>
      <c r="W11" s="7" t="s">
        <v>88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16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16</v>
      </c>
      <c r="G12" s="7" t="s">
        <v>84</v>
      </c>
      <c r="H12" s="7" t="s">
        <v>84</v>
      </c>
      <c r="I12" s="7" t="s">
        <v>16</v>
      </c>
      <c r="J12" s="7" t="s">
        <v>84</v>
      </c>
      <c r="K12" s="7" t="s">
        <v>84</v>
      </c>
      <c r="L12" s="7" t="s">
        <v>88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88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16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16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16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16</v>
      </c>
      <c r="X13" s="7" t="s">
        <v>84</v>
      </c>
      <c r="Y13" s="7" t="s">
        <v>84</v>
      </c>
      <c r="Z13" s="7" t="s">
        <v>16</v>
      </c>
      <c r="AA13" s="7" t="s">
        <v>16</v>
      </c>
      <c r="AB13" s="7" t="s">
        <v>16</v>
      </c>
      <c r="AC13" s="7" t="s">
        <v>16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16</v>
      </c>
      <c r="G14" s="7" t="s">
        <v>84</v>
      </c>
      <c r="H14" s="7" t="s">
        <v>84</v>
      </c>
      <c r="I14" s="7" t="s">
        <v>16</v>
      </c>
      <c r="J14" s="7" t="s">
        <v>84</v>
      </c>
      <c r="K14" s="7" t="s">
        <v>84</v>
      </c>
      <c r="L14" s="7" t="s">
        <v>16</v>
      </c>
      <c r="M14" s="7" t="s">
        <v>84</v>
      </c>
      <c r="N14" s="7" t="s">
        <v>84</v>
      </c>
      <c r="O14" s="7" t="s">
        <v>16</v>
      </c>
      <c r="P14" s="7" t="s">
        <v>16</v>
      </c>
      <c r="Q14" s="7" t="s">
        <v>88</v>
      </c>
      <c r="R14" s="7" t="s">
        <v>88</v>
      </c>
      <c r="S14" s="7" t="s">
        <v>16</v>
      </c>
      <c r="T14" s="7" t="s">
        <v>16</v>
      </c>
      <c r="U14" s="7" t="s">
        <v>84</v>
      </c>
      <c r="V14" s="7" t="s">
        <v>84</v>
      </c>
      <c r="W14" s="7" t="s">
        <v>16</v>
      </c>
      <c r="X14" s="7" t="s">
        <v>84</v>
      </c>
      <c r="Y14" s="7" t="s">
        <v>84</v>
      </c>
      <c r="Z14" s="7" t="s">
        <v>16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16</v>
      </c>
      <c r="G15" s="7" t="s">
        <v>84</v>
      </c>
      <c r="H15" s="7" t="s">
        <v>84</v>
      </c>
      <c r="I15" s="7" t="s">
        <v>16</v>
      </c>
      <c r="J15" s="7" t="s">
        <v>84</v>
      </c>
      <c r="K15" s="7" t="s">
        <v>84</v>
      </c>
      <c r="L15" s="7" t="s">
        <v>16</v>
      </c>
      <c r="M15" s="7" t="s">
        <v>84</v>
      </c>
      <c r="N15" s="7" t="s">
        <v>84</v>
      </c>
      <c r="O15" s="7" t="s">
        <v>16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16</v>
      </c>
      <c r="U15" s="7" t="s">
        <v>84</v>
      </c>
      <c r="V15" s="7" t="s">
        <v>84</v>
      </c>
      <c r="W15" s="7" t="s">
        <v>16</v>
      </c>
      <c r="X15" s="7" t="s">
        <v>84</v>
      </c>
      <c r="Y15" s="7" t="s">
        <v>84</v>
      </c>
      <c r="Z15" s="7" t="s">
        <v>16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88</v>
      </c>
      <c r="G16" s="7" t="s">
        <v>84</v>
      </c>
      <c r="H16" s="7" t="s">
        <v>84</v>
      </c>
      <c r="I16" s="7" t="s">
        <v>86</v>
      </c>
      <c r="J16" s="7" t="s">
        <v>84</v>
      </c>
      <c r="K16" s="7" t="s">
        <v>84</v>
      </c>
      <c r="L16" s="7" t="s">
        <v>86</v>
      </c>
      <c r="M16" s="7" t="s">
        <v>84</v>
      </c>
      <c r="N16" s="7" t="s">
        <v>84</v>
      </c>
      <c r="O16" s="7" t="s">
        <v>86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86</v>
      </c>
      <c r="U16" s="7" t="s">
        <v>84</v>
      </c>
      <c r="V16" s="7" t="s">
        <v>84</v>
      </c>
      <c r="W16" s="7" t="s">
        <v>88</v>
      </c>
      <c r="X16" s="7" t="s">
        <v>84</v>
      </c>
      <c r="Y16" s="7" t="s">
        <v>84</v>
      </c>
      <c r="Z16" s="7" t="s">
        <v>86</v>
      </c>
      <c r="AA16" s="7" t="s">
        <v>84</v>
      </c>
      <c r="AB16" s="7" t="s">
        <v>84</v>
      </c>
      <c r="AC16" s="7" t="s">
        <v>86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88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86</v>
      </c>
      <c r="M17" s="7" t="s">
        <v>84</v>
      </c>
      <c r="N17" s="7" t="s">
        <v>84</v>
      </c>
      <c r="O17" s="7" t="s">
        <v>86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86</v>
      </c>
      <c r="U17" s="7" t="s">
        <v>84</v>
      </c>
      <c r="V17" s="7" t="s">
        <v>84</v>
      </c>
      <c r="W17" s="7" t="s">
        <v>88</v>
      </c>
      <c r="X17" s="7" t="s">
        <v>84</v>
      </c>
      <c r="Y17" s="7" t="s">
        <v>84</v>
      </c>
      <c r="Z17" s="7" t="s">
        <v>86</v>
      </c>
      <c r="AA17" s="7" t="s">
        <v>84</v>
      </c>
      <c r="AB17" s="7" t="s">
        <v>84</v>
      </c>
      <c r="AC17" s="7" t="s">
        <v>86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16</v>
      </c>
      <c r="G18" s="7" t="s">
        <v>84</v>
      </c>
      <c r="H18" s="7" t="s">
        <v>84</v>
      </c>
      <c r="I18" s="7" t="s">
        <v>16</v>
      </c>
      <c r="J18" s="7" t="s">
        <v>84</v>
      </c>
      <c r="K18" s="7" t="s">
        <v>84</v>
      </c>
      <c r="L18" s="7" t="s">
        <v>16</v>
      </c>
      <c r="M18" s="7" t="s">
        <v>84</v>
      </c>
      <c r="N18" s="7" t="s">
        <v>84</v>
      </c>
      <c r="O18" s="7" t="s">
        <v>88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88</v>
      </c>
      <c r="U18" s="7" t="s">
        <v>84</v>
      </c>
      <c r="V18" s="7" t="s">
        <v>84</v>
      </c>
      <c r="W18" s="7" t="s">
        <v>16</v>
      </c>
      <c r="X18" s="7" t="s">
        <v>84</v>
      </c>
      <c r="Y18" s="7" t="s">
        <v>84</v>
      </c>
      <c r="Z18" s="7" t="s">
        <v>16</v>
      </c>
      <c r="AA18" s="7" t="s">
        <v>84</v>
      </c>
      <c r="AB18" s="7" t="s">
        <v>84</v>
      </c>
      <c r="AC18" s="7" t="s">
        <v>16</v>
      </c>
      <c r="AD18" s="7" t="s">
        <v>88</v>
      </c>
      <c r="AE18" s="7" t="s">
        <v>88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16</v>
      </c>
      <c r="G19" s="7" t="s">
        <v>84</v>
      </c>
      <c r="H19" s="7" t="s">
        <v>84</v>
      </c>
      <c r="I19" s="7" t="s">
        <v>16</v>
      </c>
      <c r="J19" s="7" t="s">
        <v>84</v>
      </c>
      <c r="K19" s="7" t="s">
        <v>84</v>
      </c>
      <c r="L19" s="7" t="s">
        <v>16</v>
      </c>
      <c r="M19" s="7" t="s">
        <v>84</v>
      </c>
      <c r="N19" s="7" t="s">
        <v>84</v>
      </c>
      <c r="O19" s="7" t="s">
        <v>88</v>
      </c>
      <c r="P19" s="7" t="s">
        <v>88</v>
      </c>
      <c r="Q19" s="7" t="s">
        <v>86</v>
      </c>
      <c r="R19" s="7" t="s">
        <v>86</v>
      </c>
      <c r="S19" s="7" t="s">
        <v>88</v>
      </c>
      <c r="T19" s="7" t="s">
        <v>88</v>
      </c>
      <c r="U19" s="7" t="s">
        <v>84</v>
      </c>
      <c r="V19" s="7" t="s">
        <v>84</v>
      </c>
      <c r="W19" s="7" t="s">
        <v>16</v>
      </c>
      <c r="X19" s="7" t="s">
        <v>84</v>
      </c>
      <c r="Y19" s="7" t="s">
        <v>84</v>
      </c>
      <c r="Z19" s="7" t="s">
        <v>16</v>
      </c>
      <c r="AA19" s="7" t="s">
        <v>84</v>
      </c>
      <c r="AB19" s="7" t="s">
        <v>84</v>
      </c>
      <c r="AC19" s="7" t="s">
        <v>16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16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16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16</v>
      </c>
      <c r="X20" s="7" t="s">
        <v>84</v>
      </c>
      <c r="Y20" s="7" t="s">
        <v>84</v>
      </c>
      <c r="Z20" s="7" t="s">
        <v>16</v>
      </c>
      <c r="AA20" s="7" t="s">
        <v>84</v>
      </c>
      <c r="AB20" s="7" t="s">
        <v>84</v>
      </c>
      <c r="AC20" s="7" t="s">
        <v>16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16</v>
      </c>
      <c r="G21" s="7" t="s">
        <v>84</v>
      </c>
      <c r="H21" s="7" t="s">
        <v>84</v>
      </c>
      <c r="I21" s="7" t="s">
        <v>16</v>
      </c>
      <c r="J21" s="7" t="s">
        <v>84</v>
      </c>
      <c r="K21" s="7" t="s">
        <v>84</v>
      </c>
      <c r="L21" s="7" t="s">
        <v>88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88</v>
      </c>
      <c r="X21" s="7" t="s">
        <v>84</v>
      </c>
      <c r="Y21" s="7" t="s">
        <v>84</v>
      </c>
      <c r="Z21" s="7" t="s">
        <v>16</v>
      </c>
      <c r="AA21" s="7" t="s">
        <v>84</v>
      </c>
      <c r="AB21" s="7" t="s">
        <v>84</v>
      </c>
      <c r="AC21" s="7" t="s">
        <v>16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16</v>
      </c>
      <c r="G22" s="7" t="s">
        <v>84</v>
      </c>
      <c r="H22" s="7" t="s">
        <v>84</v>
      </c>
      <c r="I22" s="7" t="s">
        <v>16</v>
      </c>
      <c r="J22" s="7" t="s">
        <v>84</v>
      </c>
      <c r="K22" s="7" t="s">
        <v>84</v>
      </c>
      <c r="L22" s="7" t="s">
        <v>88</v>
      </c>
      <c r="M22" s="7" t="s">
        <v>88</v>
      </c>
      <c r="N22" s="7" t="s">
        <v>16</v>
      </c>
      <c r="O22" s="7" t="s">
        <v>16</v>
      </c>
      <c r="P22" s="7" t="s">
        <v>16</v>
      </c>
      <c r="Q22" s="7" t="s">
        <v>86</v>
      </c>
      <c r="R22" s="7" t="s">
        <v>86</v>
      </c>
      <c r="S22" s="7" t="s">
        <v>84</v>
      </c>
      <c r="T22" s="7" t="s">
        <v>84</v>
      </c>
      <c r="U22" s="7" t="s">
        <v>88</v>
      </c>
      <c r="V22" s="7" t="s">
        <v>88</v>
      </c>
      <c r="W22" s="7" t="s">
        <v>88</v>
      </c>
      <c r="X22" s="7" t="s">
        <v>84</v>
      </c>
      <c r="Y22" s="7" t="s">
        <v>84</v>
      </c>
      <c r="Z22" s="7" t="s">
        <v>16</v>
      </c>
      <c r="AA22" s="7" t="s">
        <v>84</v>
      </c>
      <c r="AB22" s="7" t="s">
        <v>84</v>
      </c>
      <c r="AC22" s="7" t="s">
        <v>16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16</v>
      </c>
      <c r="G23" s="7" t="s">
        <v>84</v>
      </c>
      <c r="H23" s="7" t="s">
        <v>84</v>
      </c>
      <c r="I23" s="7" t="s">
        <v>16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86</v>
      </c>
      <c r="Y23" s="7" t="s">
        <v>84</v>
      </c>
      <c r="Z23" s="7" t="s">
        <v>16</v>
      </c>
      <c r="AA23" s="7" t="s">
        <v>84</v>
      </c>
      <c r="AB23" s="7" t="s">
        <v>84</v>
      </c>
      <c r="AC23" s="7" t="s">
        <v>16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16</v>
      </c>
      <c r="G24" s="7" t="s">
        <v>84</v>
      </c>
      <c r="H24" s="7" t="s">
        <v>84</v>
      </c>
      <c r="I24" s="7" t="s">
        <v>16</v>
      </c>
      <c r="J24" s="7" t="s">
        <v>16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86</v>
      </c>
      <c r="Z24" s="7" t="s">
        <v>88</v>
      </c>
      <c r="AA24" s="7" t="s">
        <v>84</v>
      </c>
      <c r="AB24" s="7" t="s">
        <v>84</v>
      </c>
      <c r="AC24" s="7" t="s">
        <v>16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16</v>
      </c>
      <c r="G25" s="7" t="s">
        <v>84</v>
      </c>
      <c r="H25" s="7" t="s">
        <v>84</v>
      </c>
      <c r="I25" s="7" t="s">
        <v>16</v>
      </c>
      <c r="J25" s="7" t="s">
        <v>16</v>
      </c>
      <c r="K25" s="7" t="s">
        <v>16</v>
      </c>
      <c r="L25" s="7" t="s">
        <v>16</v>
      </c>
      <c r="M25" s="7" t="s">
        <v>16</v>
      </c>
      <c r="N25" s="7" t="s">
        <v>16</v>
      </c>
      <c r="O25" s="7" t="s">
        <v>16</v>
      </c>
      <c r="P25" s="7" t="s">
        <v>16</v>
      </c>
      <c r="Q25" s="7" t="s">
        <v>88</v>
      </c>
      <c r="R25" s="7" t="s">
        <v>88</v>
      </c>
      <c r="S25" s="7" t="s">
        <v>16</v>
      </c>
      <c r="T25" s="7" t="s">
        <v>16</v>
      </c>
      <c r="U25" s="7" t="s">
        <v>16</v>
      </c>
      <c r="V25" s="7" t="s">
        <v>84</v>
      </c>
      <c r="W25" s="7" t="s">
        <v>84</v>
      </c>
      <c r="X25" s="7" t="s">
        <v>84</v>
      </c>
      <c r="Y25" s="7" t="s">
        <v>88</v>
      </c>
      <c r="Z25" s="7" t="s">
        <v>88</v>
      </c>
      <c r="AA25" s="7" t="s">
        <v>84</v>
      </c>
      <c r="AB25" s="7" t="s">
        <v>84</v>
      </c>
      <c r="AC25" s="7" t="s">
        <v>16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16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16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88</v>
      </c>
      <c r="AB26" s="7" t="s">
        <v>84</v>
      </c>
      <c r="AC26" s="7" t="s">
        <v>88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16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16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88</v>
      </c>
      <c r="AC27" s="7" t="s">
        <v>88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88</v>
      </c>
      <c r="H28" s="7" t="s">
        <v>88</v>
      </c>
      <c r="I28" s="7" t="s">
        <v>16</v>
      </c>
      <c r="J28" s="7" t="s">
        <v>16</v>
      </c>
      <c r="K28" s="7" t="s">
        <v>16</v>
      </c>
      <c r="L28" s="7" t="s">
        <v>16</v>
      </c>
      <c r="M28" s="7" t="s">
        <v>16</v>
      </c>
      <c r="N28" s="7" t="s">
        <v>16</v>
      </c>
      <c r="O28" s="7" t="s">
        <v>16</v>
      </c>
      <c r="P28" s="7" t="s">
        <v>16</v>
      </c>
      <c r="Q28" s="7" t="s">
        <v>86</v>
      </c>
      <c r="R28" s="7" t="s">
        <v>86</v>
      </c>
      <c r="S28" s="7" t="s">
        <v>16</v>
      </c>
      <c r="T28" s="7" t="s">
        <v>84</v>
      </c>
      <c r="U28" s="7" t="s">
        <v>84</v>
      </c>
      <c r="V28" s="7" t="s">
        <v>16</v>
      </c>
      <c r="W28" s="7" t="s">
        <v>16</v>
      </c>
      <c r="X28" s="7" t="s">
        <v>16</v>
      </c>
      <c r="Y28" s="7" t="s">
        <v>16</v>
      </c>
      <c r="Z28" s="7" t="s">
        <v>16</v>
      </c>
      <c r="AA28" s="7" t="s">
        <v>16</v>
      </c>
      <c r="AB28" s="7" t="s">
        <v>88</v>
      </c>
      <c r="AC28" s="7" t="s">
        <v>88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16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16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16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16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9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8" priority="3" operator="equal">
      <formula>"h"</formula>
    </cfRule>
    <cfRule type="cellIs" dxfId="7" priority="4" operator="equal">
      <formula>"d"</formula>
    </cfRule>
    <cfRule type="cellIs" dxfId="6" priority="5" operator="equal">
      <formula>"o"</formula>
    </cfRule>
    <cfRule type="cellIs" dxfId="5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J25" sqref="AJ25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88</v>
      </c>
      <c r="S3" s="7" t="s">
        <v>88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88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86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88</v>
      </c>
      <c r="AB5" s="7" t="s">
        <v>88</v>
      </c>
      <c r="AC5" s="7" t="s">
        <v>88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86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88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16</v>
      </c>
      <c r="V6" s="7" t="s">
        <v>16</v>
      </c>
      <c r="W6" s="7" t="s">
        <v>16</v>
      </c>
      <c r="X6" s="7" t="s">
        <v>16</v>
      </c>
      <c r="Y6" s="7" t="s">
        <v>16</v>
      </c>
      <c r="Z6" s="7" t="s">
        <v>16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86</v>
      </c>
      <c r="H7" s="7" t="s">
        <v>86</v>
      </c>
      <c r="I7" s="7" t="s">
        <v>86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88</v>
      </c>
      <c r="O7" s="7" t="s">
        <v>84</v>
      </c>
      <c r="P7" s="7" t="s">
        <v>84</v>
      </c>
      <c r="Q7" s="7" t="s">
        <v>84</v>
      </c>
      <c r="R7" s="7" t="s">
        <v>88</v>
      </c>
      <c r="S7" s="7" t="s">
        <v>88</v>
      </c>
      <c r="T7" s="7" t="s">
        <v>16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88</v>
      </c>
      <c r="O8" s="7" t="s">
        <v>84</v>
      </c>
      <c r="P8" s="7" t="s">
        <v>84</v>
      </c>
      <c r="Q8" s="7" t="s">
        <v>84</v>
      </c>
      <c r="R8" s="7" t="s">
        <v>88</v>
      </c>
      <c r="S8" s="7" t="s">
        <v>88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88</v>
      </c>
      <c r="O9" s="7" t="s">
        <v>84</v>
      </c>
      <c r="P9" s="7" t="s">
        <v>84</v>
      </c>
      <c r="Q9" s="7" t="s">
        <v>84</v>
      </c>
      <c r="R9" s="7" t="s">
        <v>88</v>
      </c>
      <c r="S9" s="7" t="s">
        <v>88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88</v>
      </c>
      <c r="O10" s="7" t="s">
        <v>84</v>
      </c>
      <c r="P10" s="7" t="s">
        <v>84</v>
      </c>
      <c r="Q10" s="7" t="s">
        <v>84</v>
      </c>
      <c r="R10" s="7" t="s">
        <v>88</v>
      </c>
      <c r="S10" s="7" t="s">
        <v>88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16</v>
      </c>
      <c r="Y10" s="7" t="s">
        <v>16</v>
      </c>
      <c r="Z10" s="7" t="s">
        <v>16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16</v>
      </c>
      <c r="H11" s="7" t="s">
        <v>16</v>
      </c>
      <c r="I11" s="7" t="s">
        <v>16</v>
      </c>
      <c r="J11" s="7" t="s">
        <v>16</v>
      </c>
      <c r="K11" s="7" t="s">
        <v>16</v>
      </c>
      <c r="L11" s="7" t="s">
        <v>16</v>
      </c>
      <c r="M11" s="7" t="s">
        <v>16</v>
      </c>
      <c r="N11" s="7" t="s">
        <v>16</v>
      </c>
      <c r="O11" s="7" t="s">
        <v>84</v>
      </c>
      <c r="P11" s="7" t="s">
        <v>84</v>
      </c>
      <c r="Q11" s="7" t="s">
        <v>84</v>
      </c>
      <c r="R11" s="7" t="s">
        <v>88</v>
      </c>
      <c r="S11" s="7" t="s">
        <v>88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16</v>
      </c>
      <c r="Y11" s="7" t="s">
        <v>84</v>
      </c>
      <c r="Z11" s="7" t="s">
        <v>84</v>
      </c>
      <c r="AA11" s="7" t="s">
        <v>16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86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88</v>
      </c>
      <c r="S12" s="7" t="s">
        <v>88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16</v>
      </c>
      <c r="Y12" s="7" t="s">
        <v>84</v>
      </c>
      <c r="Z12" s="7" t="s">
        <v>84</v>
      </c>
      <c r="AA12" s="7" t="s">
        <v>84</v>
      </c>
      <c r="AB12" s="7" t="s">
        <v>16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86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88</v>
      </c>
      <c r="S13" s="7" t="s">
        <v>88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16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86</v>
      </c>
      <c r="M14" s="7" t="s">
        <v>84</v>
      </c>
      <c r="N14" s="7" t="s">
        <v>84</v>
      </c>
      <c r="O14" s="7" t="s">
        <v>84</v>
      </c>
      <c r="P14" s="7" t="s">
        <v>84</v>
      </c>
      <c r="Q14" s="7" t="s">
        <v>90</v>
      </c>
      <c r="R14" s="7" t="s">
        <v>88</v>
      </c>
      <c r="S14" s="7" t="s">
        <v>88</v>
      </c>
      <c r="T14" s="7" t="s">
        <v>90</v>
      </c>
      <c r="U14" s="7" t="s">
        <v>84</v>
      </c>
      <c r="V14" s="7" t="s">
        <v>84</v>
      </c>
      <c r="W14" s="7" t="s">
        <v>84</v>
      </c>
      <c r="X14" s="7" t="s">
        <v>16</v>
      </c>
      <c r="Y14" s="7" t="s">
        <v>84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16</v>
      </c>
      <c r="H15" s="7" t="s">
        <v>16</v>
      </c>
      <c r="I15" s="7" t="s">
        <v>16</v>
      </c>
      <c r="J15" s="7" t="s">
        <v>16</v>
      </c>
      <c r="K15" s="7" t="s">
        <v>16</v>
      </c>
      <c r="L15" s="7" t="s">
        <v>16</v>
      </c>
      <c r="M15" s="7" t="s">
        <v>88</v>
      </c>
      <c r="N15" s="7" t="s">
        <v>88</v>
      </c>
      <c r="O15" s="7" t="s">
        <v>88</v>
      </c>
      <c r="P15" s="7" t="s">
        <v>88</v>
      </c>
      <c r="Q15" s="7" t="s">
        <v>88</v>
      </c>
      <c r="R15" s="7" t="s">
        <v>88</v>
      </c>
      <c r="S15" s="7" t="s">
        <v>88</v>
      </c>
      <c r="T15" s="7" t="s">
        <v>88</v>
      </c>
      <c r="U15" s="7" t="s">
        <v>88</v>
      </c>
      <c r="V15" s="7" t="s">
        <v>88</v>
      </c>
      <c r="W15" s="7" t="s">
        <v>88</v>
      </c>
      <c r="X15" s="7" t="s">
        <v>88</v>
      </c>
      <c r="Y15" s="7" t="s">
        <v>88</v>
      </c>
      <c r="Z15" s="7" t="s">
        <v>88</v>
      </c>
      <c r="AA15" s="7" t="s">
        <v>88</v>
      </c>
      <c r="AB15" s="7" t="s">
        <v>88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16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90</v>
      </c>
      <c r="R16" s="7" t="s">
        <v>88</v>
      </c>
      <c r="S16" s="7" t="s">
        <v>88</v>
      </c>
      <c r="T16" s="7" t="s">
        <v>90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16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84</v>
      </c>
      <c r="L17" s="7" t="s">
        <v>16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88</v>
      </c>
      <c r="S17" s="7" t="s">
        <v>88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16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16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88</v>
      </c>
      <c r="S18" s="7" t="s">
        <v>88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16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16</v>
      </c>
      <c r="M19" s="7" t="s">
        <v>16</v>
      </c>
      <c r="N19" s="7" t="s">
        <v>16</v>
      </c>
      <c r="O19" s="7" t="s">
        <v>16</v>
      </c>
      <c r="P19" s="7" t="s">
        <v>84</v>
      </c>
      <c r="Q19" s="7" t="s">
        <v>84</v>
      </c>
      <c r="R19" s="7" t="s">
        <v>88</v>
      </c>
      <c r="S19" s="7" t="s">
        <v>88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88</v>
      </c>
      <c r="S20" s="7" t="s">
        <v>88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86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88</v>
      </c>
      <c r="S21" s="7" t="s">
        <v>88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88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88</v>
      </c>
      <c r="S22" s="7" t="s">
        <v>88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88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88</v>
      </c>
      <c r="S23" s="7" t="s">
        <v>88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86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86</v>
      </c>
      <c r="H24" s="7" t="s">
        <v>84</v>
      </c>
      <c r="I24" s="7" t="s">
        <v>84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88</v>
      </c>
      <c r="S24" s="7" t="s">
        <v>88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86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86</v>
      </c>
      <c r="I25" s="7" t="s">
        <v>84</v>
      </c>
      <c r="J25" s="7" t="s">
        <v>84</v>
      </c>
      <c r="K25" s="7" t="s">
        <v>84</v>
      </c>
      <c r="L25" s="7" t="s">
        <v>16</v>
      </c>
      <c r="M25" s="7" t="s">
        <v>16</v>
      </c>
      <c r="N25" s="7" t="s">
        <v>16</v>
      </c>
      <c r="O25" s="7" t="s">
        <v>16</v>
      </c>
      <c r="P25" s="7" t="s">
        <v>16</v>
      </c>
      <c r="Q25" s="7" t="s">
        <v>16</v>
      </c>
      <c r="R25" s="7" t="s">
        <v>88</v>
      </c>
      <c r="S25" s="7" t="s">
        <v>88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16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86</v>
      </c>
      <c r="J26" s="7" t="s">
        <v>84</v>
      </c>
      <c r="K26" s="7" t="s">
        <v>84</v>
      </c>
      <c r="L26" s="7" t="s">
        <v>88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88</v>
      </c>
      <c r="S26" s="7" t="s">
        <v>88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16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88</v>
      </c>
      <c r="K27" s="7" t="s">
        <v>88</v>
      </c>
      <c r="L27" s="7" t="s">
        <v>88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88</v>
      </c>
      <c r="S27" s="7" t="s">
        <v>88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16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16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4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3" priority="3" operator="equal">
      <formula>"h"</formula>
    </cfRule>
    <cfRule type="cellIs" dxfId="2" priority="4" operator="equal">
      <formula>"d"</formula>
    </cfRule>
    <cfRule type="cellIs" dxfId="1" priority="5" operator="equal">
      <formula>"o"</formula>
    </cfRule>
    <cfRule type="cellIs" dxfId="0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31"/>
  <sheetViews>
    <sheetView workbookViewId="0">
      <selection activeCell="D2" sqref="D2:F11"/>
    </sheetView>
  </sheetViews>
  <sheetFormatPr defaultRowHeight="15" x14ac:dyDescent="0.25"/>
  <cols>
    <col min="2" max="2" width="19.42578125" bestFit="1" customWidth="1"/>
    <col min="3" max="3" width="10.140625" bestFit="1" customWidth="1"/>
    <col min="4" max="4" width="6" bestFit="1" customWidth="1"/>
    <col min="5" max="5" width="6.140625" bestFit="1" customWidth="1"/>
    <col min="6" max="6" width="5" bestFit="1" customWidth="1"/>
    <col min="7" max="7" width="9.7109375" bestFit="1" customWidth="1"/>
    <col min="8" max="8" width="12.5703125" bestFit="1" customWidth="1"/>
  </cols>
  <sheetData>
    <row r="1" spans="2:8" ht="15.75" thickBot="1" x14ac:dyDescent="0.3"/>
    <row r="2" spans="2:8" ht="15.75" thickBot="1" x14ac:dyDescent="0.3">
      <c r="C2" s="173" t="s">
        <v>94</v>
      </c>
      <c r="D2" s="71" t="s">
        <v>0</v>
      </c>
      <c r="E2" s="71" t="s">
        <v>1</v>
      </c>
      <c r="F2" s="71" t="s">
        <v>4</v>
      </c>
      <c r="G2" s="183" t="str">
        <f>MechRoller!K2</f>
        <v>Total</v>
      </c>
    </row>
    <row r="3" spans="2:8" ht="15.75" thickBot="1" x14ac:dyDescent="0.3">
      <c r="B3" s="192" t="s">
        <v>31</v>
      </c>
      <c r="C3" s="160">
        <v>0.5</v>
      </c>
      <c r="D3" s="160">
        <f>MechRoller!F3</f>
        <v>5.8266820590511637E-2</v>
      </c>
      <c r="E3" s="166">
        <f>MechRoller!G3</f>
        <v>9.1395967432116421E-2</v>
      </c>
      <c r="F3" s="165" t="str">
        <f>MechRoller!H3</f>
        <v/>
      </c>
      <c r="G3" s="184">
        <f>MechRoller!K3</f>
        <v>0.64966278802262811</v>
      </c>
    </row>
    <row r="4" spans="2:8" ht="15.75" thickBot="1" x14ac:dyDescent="0.3">
      <c r="B4" s="193" t="s">
        <v>32</v>
      </c>
      <c r="C4" s="174">
        <v>0.6</v>
      </c>
      <c r="D4" s="174">
        <f>MechRoller!F4</f>
        <v>4.1530841963555241E-2</v>
      </c>
      <c r="E4" s="177" t="str">
        <f>MechRoller!G4</f>
        <v/>
      </c>
      <c r="F4" s="166" t="str">
        <f>MechRoller!H4</f>
        <v/>
      </c>
      <c r="G4" s="185">
        <f>MechRoller!K4</f>
        <v>0.64153084196355525</v>
      </c>
    </row>
    <row r="5" spans="2:8" ht="15.75" thickBot="1" x14ac:dyDescent="0.3">
      <c r="B5" s="194" t="s">
        <v>5</v>
      </c>
      <c r="C5" s="161">
        <v>20</v>
      </c>
      <c r="D5" s="164" t="str">
        <f>MechRoller!F5</f>
        <v/>
      </c>
      <c r="E5" s="178" t="str">
        <f>MechRoller!G5</f>
        <v/>
      </c>
      <c r="F5" s="207" t="str">
        <f>MechRoller!H5</f>
        <v/>
      </c>
      <c r="G5" s="186">
        <f>MechRoller!K5</f>
        <v>20</v>
      </c>
      <c r="H5" s="9" t="s">
        <v>92</v>
      </c>
    </row>
    <row r="6" spans="2:8" ht="15.75" thickBot="1" x14ac:dyDescent="0.3">
      <c r="B6" s="193" t="s">
        <v>6</v>
      </c>
      <c r="C6" s="161">
        <v>1</v>
      </c>
      <c r="D6" s="191">
        <f>MechRoller!F6</f>
        <v>-5.5374455951406991E-2</v>
      </c>
      <c r="E6" s="190" t="str">
        <f>MechRoller!G6</f>
        <v/>
      </c>
      <c r="F6" s="178" t="str">
        <f>MechRoller!H6</f>
        <v/>
      </c>
      <c r="G6" s="187">
        <f>MechRoller!K6</f>
        <v>0.944625544048593</v>
      </c>
      <c r="H6" s="9" t="s">
        <v>59</v>
      </c>
    </row>
    <row r="7" spans="2:8" x14ac:dyDescent="0.25">
      <c r="B7" s="195" t="s">
        <v>8</v>
      </c>
      <c r="C7" s="162">
        <v>0</v>
      </c>
      <c r="D7" s="175" t="str">
        <f>MechRoller!F7</f>
        <v/>
      </c>
      <c r="E7" s="113" t="str">
        <f>MechRoller!G7</f>
        <v/>
      </c>
      <c r="F7" s="167" t="str">
        <f>MechRoller!H7</f>
        <v/>
      </c>
      <c r="G7" s="186">
        <f>MechRoller!K7</f>
        <v>0</v>
      </c>
      <c r="H7" s="9"/>
    </row>
    <row r="8" spans="2:8" ht="15.75" thickBot="1" x14ac:dyDescent="0.3">
      <c r="B8" s="196" t="s">
        <v>49</v>
      </c>
      <c r="C8" s="162">
        <v>0</v>
      </c>
      <c r="D8" s="175" t="str">
        <f>MechRoller!F8</f>
        <v/>
      </c>
      <c r="E8" s="172">
        <f>MechRoller!G8</f>
        <v>5.1316509389462075</v>
      </c>
      <c r="F8" s="167" t="str">
        <f>MechRoller!H8</f>
        <v/>
      </c>
      <c r="G8" s="186">
        <f>MechRoller!K8</f>
        <v>5.1316509389462075</v>
      </c>
      <c r="H8" s="9"/>
    </row>
    <row r="9" spans="2:8" ht="15.75" thickBot="1" x14ac:dyDescent="0.3">
      <c r="B9" s="195" t="s">
        <v>50</v>
      </c>
      <c r="C9" s="162">
        <v>1</v>
      </c>
      <c r="D9" s="176" t="str">
        <f>MechRoller!F9</f>
        <v/>
      </c>
      <c r="E9" s="172">
        <f>MechRoller!G9</f>
        <v>0.18887425210272105</v>
      </c>
      <c r="F9" s="208" t="str">
        <f>MechRoller!H9</f>
        <v/>
      </c>
      <c r="G9" s="188">
        <f>MechRoller!K9</f>
        <v>1.1888742521027211</v>
      </c>
      <c r="H9" s="9"/>
    </row>
    <row r="10" spans="2:8" ht="15.75" thickBot="1" x14ac:dyDescent="0.3">
      <c r="B10" s="197" t="s">
        <v>51</v>
      </c>
      <c r="C10" s="162">
        <v>1</v>
      </c>
      <c r="D10" s="168">
        <f>MechRoller!F10</f>
        <v>0.47156041260511689</v>
      </c>
      <c r="E10" s="172">
        <f>MechRoller!G10</f>
        <v>0.25875362402016255</v>
      </c>
      <c r="F10" s="113" t="str">
        <f>MechRoller!H10</f>
        <v/>
      </c>
      <c r="G10" s="188">
        <f>MechRoller!K10</f>
        <v>1.7303140366252796</v>
      </c>
      <c r="H10" s="9"/>
    </row>
    <row r="11" spans="2:8" ht="15.75" thickBot="1" x14ac:dyDescent="0.3">
      <c r="B11" s="198" t="s">
        <v>15</v>
      </c>
      <c r="C11" s="163">
        <v>1</v>
      </c>
      <c r="D11" s="169" t="str">
        <f>MechRoller!F11</f>
        <v/>
      </c>
      <c r="E11" s="114">
        <f>MechRoller!G11</f>
        <v>4.5033989099955694</v>
      </c>
      <c r="F11" s="114">
        <f>MechRoller!H11</f>
        <v>3.433388896608236</v>
      </c>
      <c r="G11" s="189">
        <f>MechRoller!K11</f>
        <v>8.9367878066038049</v>
      </c>
      <c r="H11" s="9" t="s">
        <v>93</v>
      </c>
    </row>
    <row r="12" spans="2:8" ht="15.75" thickBot="1" x14ac:dyDescent="0.3"/>
    <row r="13" spans="2:8" ht="15.75" thickBot="1" x14ac:dyDescent="0.3">
      <c r="C13" s="200" t="s">
        <v>64</v>
      </c>
      <c r="D13" s="201"/>
      <c r="E13" s="202"/>
      <c r="F13" s="202"/>
      <c r="H13" s="38" t="s">
        <v>65</v>
      </c>
    </row>
    <row r="14" spans="2:8" x14ac:dyDescent="0.25">
      <c r="B14" s="199" t="s">
        <v>96</v>
      </c>
      <c r="C14" s="203" t="str">
        <f>MechRoller!I14</f>
        <v>Targetted Ranged Energy</v>
      </c>
      <c r="E14" s="32"/>
      <c r="F14" s="32"/>
      <c r="G14" s="199" t="s">
        <v>96</v>
      </c>
      <c r="H14" t="s">
        <v>98</v>
      </c>
    </row>
    <row r="15" spans="2:8" x14ac:dyDescent="0.25">
      <c r="B15" s="199" t="s">
        <v>46</v>
      </c>
      <c r="C15" s="204">
        <f>MechRoller!I16</f>
        <v>17.543183786250086</v>
      </c>
      <c r="G15" s="199" t="s">
        <v>46</v>
      </c>
    </row>
    <row r="16" spans="2:8" x14ac:dyDescent="0.25">
      <c r="B16" s="199" t="s">
        <v>7</v>
      </c>
      <c r="C16" s="204">
        <f>MechRoller!I18</f>
        <v>21.422330772589106</v>
      </c>
      <c r="G16" s="199" t="s">
        <v>97</v>
      </c>
    </row>
    <row r="17" spans="2:8" ht="15.75" thickBot="1" x14ac:dyDescent="0.3"/>
    <row r="18" spans="2:8" ht="15.75" thickBot="1" x14ac:dyDescent="0.3">
      <c r="C18" s="173" t="s">
        <v>94</v>
      </c>
      <c r="D18" s="71" t="s">
        <v>0</v>
      </c>
      <c r="E18" s="71" t="s">
        <v>1</v>
      </c>
      <c r="F18" s="71" t="s">
        <v>4</v>
      </c>
      <c r="G18" s="71" t="s">
        <v>2</v>
      </c>
      <c r="H18" s="72" t="s">
        <v>3</v>
      </c>
    </row>
    <row r="19" spans="2:8" x14ac:dyDescent="0.25">
      <c r="B19" s="199" t="s">
        <v>12</v>
      </c>
    </row>
    <row r="20" spans="2:8" x14ac:dyDescent="0.25">
      <c r="B20" s="199"/>
    </row>
    <row r="31" spans="2:8" x14ac:dyDescent="0.25">
      <c r="H31" t="s">
        <v>95</v>
      </c>
    </row>
  </sheetData>
  <conditionalFormatting sqref="C3:F11">
    <cfRule type="containsBlanks" dxfId="31" priority="1">
      <formula>LEN(TRIM(C3))=0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8"/>
  <sheetViews>
    <sheetView workbookViewId="0">
      <selection activeCell="G26" sqref="G26"/>
    </sheetView>
  </sheetViews>
  <sheetFormatPr defaultRowHeight="15" x14ac:dyDescent="0.25"/>
  <cols>
    <col min="3" max="3" width="19.42578125" bestFit="1" customWidth="1"/>
    <col min="6" max="6" width="19.7109375" bestFit="1" customWidth="1"/>
  </cols>
  <sheetData>
    <row r="1" spans="2:8" ht="15.75" thickBot="1" x14ac:dyDescent="0.3"/>
    <row r="2" spans="2:8" ht="15.75" thickBot="1" x14ac:dyDescent="0.3">
      <c r="D2" s="52" t="s">
        <v>45</v>
      </c>
      <c r="E2" s="70" t="s">
        <v>0</v>
      </c>
      <c r="F2" s="71" t="s">
        <v>1</v>
      </c>
      <c r="G2" s="72" t="s">
        <v>4</v>
      </c>
      <c r="H2" s="217" t="s">
        <v>94</v>
      </c>
    </row>
    <row r="3" spans="2:8" ht="15.75" thickBot="1" x14ac:dyDescent="0.3">
      <c r="C3" s="209" t="s">
        <v>31</v>
      </c>
      <c r="D3" s="184">
        <f>MechRoller!K3</f>
        <v>0.64966278802262811</v>
      </c>
      <c r="E3" s="160">
        <f>MechRoller!F3</f>
        <v>5.8266820590511637E-2</v>
      </c>
      <c r="F3" s="166">
        <f>MechRoller!G3</f>
        <v>9.1395967432116421E-2</v>
      </c>
      <c r="G3" s="165" t="str">
        <f>MechRoller!H3</f>
        <v/>
      </c>
      <c r="H3" s="225">
        <f>MechRoller!E3</f>
        <v>0.5</v>
      </c>
    </row>
    <row r="4" spans="2:8" ht="15.75" thickBot="1" x14ac:dyDescent="0.3">
      <c r="C4" s="210" t="s">
        <v>32</v>
      </c>
      <c r="D4" s="185">
        <f>MechRoller!K4</f>
        <v>0.64153084196355525</v>
      </c>
      <c r="E4" s="174">
        <f>MechRoller!F4</f>
        <v>4.1530841963555241E-2</v>
      </c>
      <c r="F4" s="177" t="str">
        <f>MechRoller!G4</f>
        <v/>
      </c>
      <c r="G4" s="166" t="str">
        <f>MechRoller!H4</f>
        <v/>
      </c>
    </row>
    <row r="5" spans="2:8" ht="15.75" thickBot="1" x14ac:dyDescent="0.3">
      <c r="C5" s="211" t="s">
        <v>5</v>
      </c>
      <c r="D5" s="186">
        <f>MechRoller!K5</f>
        <v>20</v>
      </c>
      <c r="E5" s="164" t="str">
        <f>MechRoller!F5</f>
        <v/>
      </c>
      <c r="F5" s="178" t="str">
        <f>MechRoller!G5</f>
        <v/>
      </c>
      <c r="G5" s="179" t="str">
        <f>MechRoller!H5</f>
        <v/>
      </c>
    </row>
    <row r="6" spans="2:8" ht="15.75" thickBot="1" x14ac:dyDescent="0.3">
      <c r="C6" s="210" t="s">
        <v>6</v>
      </c>
      <c r="D6" s="187">
        <f>MechRoller!K6</f>
        <v>0.944625544048593</v>
      </c>
      <c r="E6" s="191">
        <f>MechRoller!F6</f>
        <v>-5.5374455951406991E-2</v>
      </c>
      <c r="F6" s="190" t="str">
        <f>MechRoller!G6</f>
        <v/>
      </c>
      <c r="G6" s="180" t="str">
        <f>MechRoller!H6</f>
        <v/>
      </c>
    </row>
    <row r="7" spans="2:8" x14ac:dyDescent="0.25">
      <c r="C7" s="212" t="s">
        <v>8</v>
      </c>
      <c r="D7" s="186">
        <f>MechRoller!K7</f>
        <v>0</v>
      </c>
      <c r="E7" s="175" t="str">
        <f>MechRoller!F7</f>
        <v/>
      </c>
      <c r="F7" s="113" t="str">
        <f>MechRoller!G7</f>
        <v/>
      </c>
      <c r="G7" s="170" t="str">
        <f>MechRoller!H7</f>
        <v/>
      </c>
    </row>
    <row r="8" spans="2:8" ht="15.75" thickBot="1" x14ac:dyDescent="0.3">
      <c r="C8" s="213" t="s">
        <v>49</v>
      </c>
      <c r="D8" s="186">
        <f>MechRoller!K8</f>
        <v>5.1316509389462075</v>
      </c>
      <c r="E8" s="175" t="str">
        <f>MechRoller!F8</f>
        <v/>
      </c>
      <c r="F8" s="172">
        <f>MechRoller!G8</f>
        <v>5.1316509389462075</v>
      </c>
      <c r="G8" s="170" t="str">
        <f>MechRoller!H8</f>
        <v/>
      </c>
    </row>
    <row r="9" spans="2:8" ht="15.75" thickBot="1" x14ac:dyDescent="0.3">
      <c r="C9" s="212" t="s">
        <v>50</v>
      </c>
      <c r="D9" s="188">
        <f>MechRoller!K9</f>
        <v>1.1888742521027211</v>
      </c>
      <c r="E9" s="176" t="str">
        <f>MechRoller!F9</f>
        <v/>
      </c>
      <c r="F9" s="172">
        <f>MechRoller!G9</f>
        <v>0.18887425210272105</v>
      </c>
      <c r="G9" s="171" t="str">
        <f>MechRoller!H9</f>
        <v/>
      </c>
    </row>
    <row r="10" spans="2:8" ht="15.75" thickBot="1" x14ac:dyDescent="0.3">
      <c r="C10" s="214" t="s">
        <v>51</v>
      </c>
      <c r="D10" s="188">
        <f>MechRoller!K10</f>
        <v>1.7303140366252796</v>
      </c>
      <c r="E10" s="168">
        <f>MechRoller!F10</f>
        <v>0.47156041260511689</v>
      </c>
      <c r="F10" s="172">
        <f>MechRoller!G10</f>
        <v>0.25875362402016255</v>
      </c>
      <c r="G10" s="113" t="str">
        <f>MechRoller!H10</f>
        <v/>
      </c>
    </row>
    <row r="11" spans="2:8" ht="15.75" thickBot="1" x14ac:dyDescent="0.3">
      <c r="C11" s="215" t="s">
        <v>15</v>
      </c>
      <c r="D11" s="189">
        <f>MechRoller!K11</f>
        <v>8.9367878066038049</v>
      </c>
      <c r="E11" s="168" t="str">
        <f>MechRoller!F11</f>
        <v/>
      </c>
      <c r="F11" s="114">
        <f>MechRoller!G11</f>
        <v>4.5033989099955694</v>
      </c>
      <c r="G11" s="114">
        <f>MechRoller!H11</f>
        <v>3.433388896608236</v>
      </c>
    </row>
    <row r="13" spans="2:8" ht="15.75" thickBot="1" x14ac:dyDescent="0.3"/>
    <row r="14" spans="2:8" ht="15.75" thickBot="1" x14ac:dyDescent="0.3">
      <c r="C14" s="70" t="s">
        <v>2</v>
      </c>
      <c r="D14" s="71" t="s">
        <v>3</v>
      </c>
      <c r="E14" s="205" t="s">
        <v>0</v>
      </c>
      <c r="F14" s="205" t="s">
        <v>1</v>
      </c>
      <c r="G14" s="71" t="s">
        <v>4</v>
      </c>
      <c r="H14" s="217" t="s">
        <v>94</v>
      </c>
    </row>
    <row r="15" spans="2:8" ht="15.75" thickBot="1" x14ac:dyDescent="0.3">
      <c r="B15" s="43" t="s">
        <v>99</v>
      </c>
      <c r="C15" s="34">
        <v>17</v>
      </c>
      <c r="D15" s="218" t="s">
        <v>101</v>
      </c>
      <c r="E15" s="219"/>
      <c r="F15" s="220"/>
      <c r="G15" s="28">
        <v>20</v>
      </c>
      <c r="H15" s="220"/>
    </row>
    <row r="16" spans="2:8" ht="15.75" thickBot="1" x14ac:dyDescent="0.3">
      <c r="B16" s="45" t="s">
        <v>100</v>
      </c>
      <c r="C16" s="223" t="str">
        <f>CONCATENATE(ROUNDUP(MechRoller!I15/2,0),"/",ROUNDUP(MechRoller!I15,0))</f>
        <v>76/152</v>
      </c>
      <c r="D16" s="221" t="s">
        <v>101</v>
      </c>
      <c r="E16" s="223" t="str">
        <f>CONCATENATE(ROUNDUP(MechRoller!F15/2,0),"/",ROUNDUP(MechRoller!F15,0))</f>
        <v>18/35</v>
      </c>
      <c r="F16" s="223" t="str">
        <f>CONCATENATE(ROUNDUP(MechRoller!G15/2,0),"/",ROUNDUP(MechRoller!G15,0))</f>
        <v>8/15</v>
      </c>
      <c r="G16" s="223" t="str">
        <f>CONCATENATE(ROUNDUP(MechRoller!H15/2,0),"/",ROUNDUP(MechRoller!H15,0))</f>
        <v>35/69</v>
      </c>
      <c r="H16" s="222" t="str">
        <f>CONCATENATE(MechRoller!E15/2,"/",MechRoller!E15)</f>
        <v>25/50</v>
      </c>
    </row>
    <row r="17" spans="2:3" x14ac:dyDescent="0.25">
      <c r="B17" s="43" t="s">
        <v>96</v>
      </c>
      <c r="C17" s="216" t="str">
        <f>MechRoller!I14</f>
        <v>Targetted Ranged Energy</v>
      </c>
    </row>
    <row r="18" spans="2:3" ht="15.75" thickBot="1" x14ac:dyDescent="0.3">
      <c r="B18" s="45" t="s">
        <v>7</v>
      </c>
      <c r="C18" s="224">
        <f>MechRoller!I18</f>
        <v>21.422330772589106</v>
      </c>
    </row>
  </sheetData>
  <conditionalFormatting sqref="E3:G11">
    <cfRule type="containsBlanks" dxfId="25" priority="1">
      <formula>LEN(TRIM(E3))=0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>
      <selection activeCell="D23" sqref="D23"/>
    </sheetView>
  </sheetViews>
  <sheetFormatPr defaultRowHeight="15" x14ac:dyDescent="0.25"/>
  <sheetData>
    <row r="1" spans="1:5" x14ac:dyDescent="0.25">
      <c r="A1" t="s">
        <v>121</v>
      </c>
    </row>
    <row r="2" spans="1:5" x14ac:dyDescent="0.25">
      <c r="A2" t="s">
        <v>122</v>
      </c>
    </row>
    <row r="3" spans="1:5" x14ac:dyDescent="0.25">
      <c r="A3" t="s">
        <v>126</v>
      </c>
    </row>
    <row r="4" spans="1:5" x14ac:dyDescent="0.25">
      <c r="A4" t="s">
        <v>123</v>
      </c>
    </row>
    <row r="5" spans="1:5" x14ac:dyDescent="0.25">
      <c r="A5" t="s">
        <v>124</v>
      </c>
    </row>
    <row r="6" spans="1:5" x14ac:dyDescent="0.25">
      <c r="A6" t="s">
        <v>125</v>
      </c>
    </row>
    <row r="7" spans="1:5" x14ac:dyDescent="0.25">
      <c r="A7" t="s">
        <v>127</v>
      </c>
    </row>
    <row r="8" spans="1:5" x14ac:dyDescent="0.25">
      <c r="A8" t="s">
        <v>128</v>
      </c>
    </row>
    <row r="10" spans="1:5" x14ac:dyDescent="0.25">
      <c r="A10" t="s">
        <v>129</v>
      </c>
    </row>
    <row r="11" spans="1:5" x14ac:dyDescent="0.25">
      <c r="A11" t="s">
        <v>130</v>
      </c>
      <c r="E11" t="s">
        <v>141</v>
      </c>
    </row>
    <row r="12" spans="1:5" x14ac:dyDescent="0.25">
      <c r="A12" t="s">
        <v>140</v>
      </c>
      <c r="E12" t="s">
        <v>142</v>
      </c>
    </row>
    <row r="13" spans="1:5" x14ac:dyDescent="0.25">
      <c r="A13" t="s">
        <v>135</v>
      </c>
      <c r="E13" t="s">
        <v>143</v>
      </c>
    </row>
    <row r="14" spans="1:5" x14ac:dyDescent="0.25">
      <c r="A14" t="s">
        <v>131</v>
      </c>
      <c r="C14" t="s">
        <v>136</v>
      </c>
    </row>
    <row r="15" spans="1:5" x14ac:dyDescent="0.25">
      <c r="A15" t="s">
        <v>132</v>
      </c>
      <c r="C15" t="s">
        <v>137</v>
      </c>
    </row>
    <row r="16" spans="1:5" x14ac:dyDescent="0.25">
      <c r="A16" t="s">
        <v>133</v>
      </c>
      <c r="C16" t="s">
        <v>138</v>
      </c>
    </row>
    <row r="17" spans="1:3" x14ac:dyDescent="0.25">
      <c r="A17" t="s">
        <v>134</v>
      </c>
      <c r="C17" t="s">
        <v>139</v>
      </c>
    </row>
    <row r="18" spans="1:3" x14ac:dyDescent="0.25">
      <c r="C18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Guidelines</vt:lpstr>
      <vt:lpstr>MechRoller</vt:lpstr>
      <vt:lpstr>Hulls</vt:lpstr>
      <vt:lpstr>WeaponRoller</vt:lpstr>
      <vt:lpstr>MoreWeaponNotes</vt:lpstr>
      <vt:lpstr>BlankMap</vt:lpstr>
      <vt:lpstr>Map1</vt:lpstr>
      <vt:lpstr>Map2</vt:lpstr>
      <vt:lpstr>Map3</vt:lpstr>
      <vt:lpstr>Map4</vt:lpstr>
      <vt:lpstr>Map5</vt:lpstr>
      <vt:lpstr>UIScrap</vt:lpstr>
      <vt:lpstr>UIScrap2</vt:lpstr>
      <vt:lpstr>Metanotes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2015-06-07T01:46:14Z</dcterms:modified>
</cp:coreProperties>
</file>