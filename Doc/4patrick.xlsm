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1"/>
  </bookViews>
  <sheets>
    <sheet name="Guidelines" sheetId="5" r:id="rId1"/>
    <sheet name="MechRoller" sheetId="6" r:id="rId2"/>
    <sheet name="WeaponRoller" sheetId="7" r:id="rId3"/>
    <sheet name="Mapper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18" i="6" s="1"/>
  <c r="I5" i="7"/>
  <c r="I14" i="6" s="1"/>
  <c r="K3" i="6"/>
</calcChain>
</file>

<file path=xl/sharedStrings.xml><?xml version="1.0" encoding="utf-8"?>
<sst xmlns="http://schemas.openxmlformats.org/spreadsheetml/2006/main" count="1102" uniqueCount="93">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</sst>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9"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60" t="s">
        <v>34</v>
      </c>
      <c r="E5" s="161"/>
      <c r="F5" s="161"/>
      <c r="G5" s="161"/>
      <c r="H5" s="161"/>
      <c r="I5" s="162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60" t="s">
        <v>35</v>
      </c>
      <c r="E18" s="161"/>
      <c r="F18" s="161"/>
      <c r="G18" s="161"/>
      <c r="H18" s="161"/>
      <c r="I18" s="162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abSelected="1" workbookViewId="0">
      <selection activeCell="Z7" sqref="Z7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2.1236405730247498</v>
      </c>
      <c r="R2" s="74">
        <f>SUM(R4:R13)</f>
        <v>0.99999999999999989</v>
      </c>
      <c r="S2" s="122"/>
      <c r="T2" s="123"/>
      <c r="V2" s="51" t="s">
        <v>64</v>
      </c>
      <c r="W2" s="74">
        <f>SUM(W4:W6)</f>
        <v>1.2971302270889282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 t="str">
        <f>IF(P4,T4,"")</f>
        <v/>
      </c>
      <c r="G3" s="98">
        <f>IF(P17,T17,"")</f>
        <v>0.23115345036155871</v>
      </c>
      <c r="H3" s="99" t="str">
        <f>IF(P30,T30,"")</f>
        <v/>
      </c>
      <c r="I3" s="137"/>
      <c r="J3" s="138"/>
      <c r="K3" s="110">
        <f t="shared" ref="K3:K11" si="0">SUM(E3:H3)</f>
        <v>0.73115345036155865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3.5316710818524152E-2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0.63531671081852414</v>
      </c>
      <c r="L4" s="9"/>
      <c r="M4" s="78" t="s">
        <v>31</v>
      </c>
      <c r="N4" s="83">
        <v>1</v>
      </c>
      <c r="O4" s="53">
        <v>8.9356899261474609E-3</v>
      </c>
      <c r="P4" s="83">
        <f>IF(O4&gt;0.5,1,0)</f>
        <v>0</v>
      </c>
      <c r="Q4" s="53">
        <v>0</v>
      </c>
      <c r="R4" s="53">
        <f t="shared" ref="R4:R13" si="4">$M$3/$Q$2 * Q4</f>
        <v>0</v>
      </c>
      <c r="S4" s="53">
        <v>0.75</v>
      </c>
      <c r="T4" s="84">
        <f>S4*R4</f>
        <v>0</v>
      </c>
      <c r="V4" s="78" t="s">
        <v>14</v>
      </c>
      <c r="W4" s="53">
        <v>0.86896294355392456</v>
      </c>
      <c r="X4" s="53">
        <f>$V$3/$W$2 * W4</f>
        <v>0.66991187577525357</v>
      </c>
      <c r="Y4" s="83">
        <v>20</v>
      </c>
      <c r="Z4" s="150">
        <v>-19</v>
      </c>
      <c r="AA4" s="152">
        <f>Y4+(Z4*X4)</f>
        <v>7.2716743602701825</v>
      </c>
    </row>
    <row r="5" spans="4:27" x14ac:dyDescent="0.25">
      <c r="D5" s="1" t="s">
        <v>5</v>
      </c>
      <c r="E5" s="88">
        <v>20</v>
      </c>
      <c r="F5" s="159">
        <f t="shared" si="1"/>
        <v>2.5528577930458605</v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22.55285779304586</v>
      </c>
      <c r="L5" s="9" t="s">
        <v>92</v>
      </c>
      <c r="M5" s="79" t="s">
        <v>32</v>
      </c>
      <c r="N5" s="59">
        <v>1</v>
      </c>
      <c r="O5" s="54">
        <v>0.95034688711166382</v>
      </c>
      <c r="P5" s="59">
        <f t="shared" ref="P5:P8" si="5">IF(O5&gt;0.5,1,0)</f>
        <v>1</v>
      </c>
      <c r="Q5" s="54">
        <v>0.1</v>
      </c>
      <c r="R5" s="54">
        <f t="shared" si="4"/>
        <v>4.7088947758032199E-2</v>
      </c>
      <c r="S5" s="54">
        <v>0.75</v>
      </c>
      <c r="T5" s="58">
        <f>S5*R5</f>
        <v>3.5316710818524152E-2</v>
      </c>
      <c r="V5" s="79" t="s">
        <v>7</v>
      </c>
      <c r="W5" s="54">
        <v>0.17872154712677002</v>
      </c>
      <c r="X5" s="54">
        <f>$V$3/$W$2 * W5</f>
        <v>0.13778226996364434</v>
      </c>
      <c r="Y5" s="54"/>
      <c r="Z5" s="151">
        <v>50</v>
      </c>
      <c r="AA5" s="58">
        <f>Z5*X5</f>
        <v>6.8891134981822173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-0.31432103677677214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0.68567896322322786</v>
      </c>
      <c r="L6" s="9" t="s">
        <v>59</v>
      </c>
      <c r="M6" s="79" t="s">
        <v>5</v>
      </c>
      <c r="N6" s="59">
        <v>1</v>
      </c>
      <c r="O6" s="54">
        <v>0.95640379190444946</v>
      </c>
      <c r="P6" s="59">
        <f t="shared" si="5"/>
        <v>1</v>
      </c>
      <c r="Q6" s="54">
        <v>0.18071174621582031</v>
      </c>
      <c r="R6" s="54">
        <f t="shared" si="4"/>
        <v>8.5095259768195347E-2</v>
      </c>
      <c r="S6" s="54">
        <v>30</v>
      </c>
      <c r="T6" s="58">
        <f>S6*R6</f>
        <v>2.5528577930458605</v>
      </c>
      <c r="V6" s="132" t="s">
        <v>12</v>
      </c>
      <c r="W6" s="114">
        <v>0.24944573640823364</v>
      </c>
      <c r="X6" s="55">
        <f>$V$3/$W$2 * W6</f>
        <v>0.19230585426110205</v>
      </c>
      <c r="Y6" s="75"/>
      <c r="Z6" s="33">
        <v>200</v>
      </c>
      <c r="AA6" s="134">
        <f>Z6*(X6)</f>
        <v>38.461170852220413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>
        <f t="shared" si="2"/>
        <v>3.7542577825275729</v>
      </c>
      <c r="H7" s="119" t="str">
        <f t="shared" si="3"/>
        <v/>
      </c>
      <c r="I7" s="139"/>
      <c r="J7" s="140"/>
      <c r="K7" s="112">
        <f t="shared" si="0"/>
        <v>3.7542577825275729</v>
      </c>
      <c r="L7" s="9"/>
      <c r="M7" s="80" t="s">
        <v>6</v>
      </c>
      <c r="N7" s="76">
        <v>1</v>
      </c>
      <c r="O7" s="55">
        <v>0.71105021238327026</v>
      </c>
      <c r="P7" s="76">
        <f t="shared" si="5"/>
        <v>1</v>
      </c>
      <c r="Q7" s="55">
        <v>0.66750490665435791</v>
      </c>
      <c r="R7" s="55">
        <f t="shared" si="4"/>
        <v>0.31432103677677214</v>
      </c>
      <c r="S7" s="55">
        <v>-1</v>
      </c>
      <c r="T7" s="77">
        <f t="shared" ref="T7:T8" si="6">S7*R7</f>
        <v>-0.31432103677677214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 t="str">
        <f t="shared" si="2"/>
        <v/>
      </c>
      <c r="H8" s="121" t="str">
        <f t="shared" si="3"/>
        <v/>
      </c>
      <c r="I8" s="139"/>
      <c r="J8" s="140"/>
      <c r="K8" s="124">
        <f t="shared" si="0"/>
        <v>0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 t="str">
        <f t="shared" si="2"/>
        <v/>
      </c>
      <c r="H9" s="115">
        <f t="shared" si="3"/>
        <v>0.44902911158906733</v>
      </c>
      <c r="I9" s="139"/>
      <c r="J9" s="140"/>
      <c r="K9" s="113">
        <f t="shared" si="0"/>
        <v>1.4490291115890672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0.35714835630926489</v>
      </c>
      <c r="G10" s="104" t="str">
        <f t="shared" si="2"/>
        <v/>
      </c>
      <c r="H10" s="108">
        <f t="shared" si="3"/>
        <v>0.47110081011513089</v>
      </c>
      <c r="I10" s="139"/>
      <c r="J10" s="140"/>
      <c r="K10" s="114">
        <f t="shared" si="0"/>
        <v>1.8282491664243956</v>
      </c>
      <c r="L10" s="9"/>
      <c r="M10" s="81" t="s">
        <v>63</v>
      </c>
      <c r="N10" s="60">
        <v>1</v>
      </c>
      <c r="O10" s="63">
        <v>8.0031692981719971E-2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4.4314973343382977</v>
      </c>
      <c r="H11" s="127" t="str">
        <f t="shared" si="3"/>
        <v/>
      </c>
      <c r="I11" s="141"/>
      <c r="J11" s="142"/>
      <c r="K11" s="128">
        <f t="shared" si="0"/>
        <v>5.4314973343382977</v>
      </c>
      <c r="L11" s="9" t="s">
        <v>58</v>
      </c>
      <c r="M11" s="79" t="s">
        <v>51</v>
      </c>
      <c r="N11" s="59">
        <v>1</v>
      </c>
      <c r="O11" s="54">
        <v>0.57687211036682129</v>
      </c>
      <c r="P11" s="59">
        <f>IF(O11&gt;0.5,1,0)</f>
        <v>1</v>
      </c>
      <c r="Q11" s="54">
        <v>0.75845474004745483</v>
      </c>
      <c r="R11" s="54">
        <f t="shared" si="4"/>
        <v>0.35714835630926489</v>
      </c>
      <c r="S11" s="54">
        <v>1</v>
      </c>
      <c r="T11" s="58">
        <f>S11*R11</f>
        <v>0.35714835630926489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0.4169691801071167</v>
      </c>
      <c r="R13" s="114">
        <f t="shared" si="4"/>
        <v>0.19634639938773535</v>
      </c>
      <c r="S13" s="33">
        <v>100</v>
      </c>
      <c r="T13" s="134">
        <f>S13*(R13)</f>
        <v>19.634639938773535</v>
      </c>
    </row>
    <row r="14" spans="4:27" ht="30.75" thickBot="1" x14ac:dyDescent="0.3">
      <c r="D14" s="9"/>
      <c r="I14" s="148" t="str">
        <f>WeaponRoller!I5</f>
        <v>Column (Aoe) Ranged Projectile</v>
      </c>
    </row>
    <row r="15" spans="4:27" ht="15.75" thickBot="1" x14ac:dyDescent="0.3">
      <c r="D15" s="13" t="s">
        <v>12</v>
      </c>
      <c r="E15" s="130">
        <v>50</v>
      </c>
      <c r="F15" s="136">
        <f>T13</f>
        <v>19.634639938773535</v>
      </c>
      <c r="G15" s="136">
        <f>T26</f>
        <v>40.533817626564797</v>
      </c>
      <c r="H15" s="136">
        <f>T39</f>
        <v>7.9870078295801799</v>
      </c>
      <c r="I15" s="156">
        <f>AA6</f>
        <v>38.461170852220413</v>
      </c>
      <c r="J15" s="131"/>
      <c r="K15" s="146"/>
      <c r="M15" s="51" t="s">
        <v>56</v>
      </c>
      <c r="N15" s="122"/>
      <c r="O15" s="122"/>
      <c r="P15" s="122"/>
      <c r="Q15" s="74">
        <f>SUM(Q17:Q26)</f>
        <v>1.9500414729118347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7.2716743602701825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7</v>
      </c>
      <c r="E17" s="92"/>
      <c r="F17" s="93"/>
      <c r="G17" s="93"/>
      <c r="H17" s="93"/>
      <c r="I17" s="155">
        <f>AA5*WeaponRoller!J5</f>
        <v>2.2734074544001319</v>
      </c>
      <c r="J17" s="93"/>
      <c r="K17" s="94"/>
      <c r="M17" s="78" t="s">
        <v>31</v>
      </c>
      <c r="N17" s="83">
        <v>1</v>
      </c>
      <c r="O17" s="53">
        <v>0.5660596489906311</v>
      </c>
      <c r="P17" s="83">
        <f>IF(O17&gt;0.5,1,0)</f>
        <v>1</v>
      </c>
      <c r="Q17" s="53">
        <v>0.60101175308227539</v>
      </c>
      <c r="R17" s="53">
        <f t="shared" ref="R17:R25" si="7">$M$16/$Q$15 * Q17</f>
        <v>0.30820460048207826</v>
      </c>
      <c r="S17" s="53">
        <v>0.75</v>
      </c>
      <c r="T17" s="84">
        <f>S17*R17</f>
        <v>0.23115345036155871</v>
      </c>
    </row>
    <row r="18" spans="4:20" x14ac:dyDescent="0.25">
      <c r="I18" s="158">
        <f>LN(I17^2+1)*5</f>
        <v>9.0971823916871646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0.90268009901046753</v>
      </c>
      <c r="P21" s="60">
        <f t="shared" si="8"/>
        <v>1</v>
      </c>
      <c r="Q21" s="63">
        <v>0.73209583759307861</v>
      </c>
      <c r="R21" s="63">
        <f t="shared" si="7"/>
        <v>0.3754257782527573</v>
      </c>
      <c r="S21" s="63">
        <v>10</v>
      </c>
      <c r="T21" s="82">
        <f t="shared" si="9"/>
        <v>3.7542577825275729</v>
      </c>
    </row>
    <row r="22" spans="4:20" ht="15.75" thickBot="1" x14ac:dyDescent="0.3">
      <c r="M22" s="80" t="s">
        <v>9</v>
      </c>
      <c r="N22" s="76">
        <v>1</v>
      </c>
      <c r="O22" s="55">
        <v>0.11921483278274536</v>
      </c>
      <c r="P22" s="76">
        <f>IF(O22&gt;0.5,1,0)</f>
        <v>0</v>
      </c>
      <c r="Q22" s="55">
        <v>0</v>
      </c>
      <c r="R22" s="55">
        <f t="shared" si="7"/>
        <v>0</v>
      </c>
      <c r="S22" s="55">
        <v>20</v>
      </c>
      <c r="T22" s="77">
        <f>S22*R22</f>
        <v>0</v>
      </c>
    </row>
    <row r="23" spans="4:20" x14ac:dyDescent="0.25">
      <c r="M23" s="81" t="s">
        <v>63</v>
      </c>
      <c r="N23" s="60">
        <v>1</v>
      </c>
      <c r="O23" s="63">
        <v>0.45639300346374512</v>
      </c>
      <c r="P23" s="60">
        <f>IF(O23&gt;0.5,1,0)</f>
        <v>0</v>
      </c>
      <c r="Q23" s="63">
        <v>0</v>
      </c>
      <c r="R23" s="63">
        <f t="shared" si="7"/>
        <v>0</v>
      </c>
      <c r="S23" s="63">
        <v>1</v>
      </c>
      <c r="T23" s="82">
        <f>S23*R23</f>
        <v>0</v>
      </c>
    </row>
    <row r="24" spans="4:20" x14ac:dyDescent="0.25">
      <c r="M24" s="79" t="s">
        <v>13</v>
      </c>
      <c r="N24" s="59">
        <v>1</v>
      </c>
      <c r="O24" s="54">
        <v>0.34698861837387085</v>
      </c>
      <c r="P24" s="59">
        <f>IF(O24&gt;0.5,1,0)</f>
        <v>0</v>
      </c>
      <c r="Q24" s="54">
        <v>0</v>
      </c>
      <c r="R24" s="54">
        <f t="shared" si="7"/>
        <v>0</v>
      </c>
      <c r="S24" s="54">
        <v>1</v>
      </c>
      <c r="T24" s="58">
        <f>S24*R24</f>
        <v>0</v>
      </c>
    </row>
    <row r="25" spans="4:20" ht="15.75" thickBot="1" x14ac:dyDescent="0.3">
      <c r="M25" s="80" t="s">
        <v>15</v>
      </c>
      <c r="N25" s="76">
        <v>1</v>
      </c>
      <c r="O25" s="55">
        <v>0.61288487911224365</v>
      </c>
      <c r="P25" s="76">
        <f>IF(O25&gt;0.5,1,0)</f>
        <v>1</v>
      </c>
      <c r="Q25" s="55">
        <v>0.22172075510025024</v>
      </c>
      <c r="R25" s="55">
        <f t="shared" si="7"/>
        <v>0.11370053313234056</v>
      </c>
      <c r="S25" s="55">
        <v>5</v>
      </c>
      <c r="T25" s="77">
        <f>S25*(1-R25)</f>
        <v>4.4314973343382977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0.39521312713623047</v>
      </c>
      <c r="R26" s="114">
        <f>$M$3/$Q$15 * Q26</f>
        <v>0.20266908813282397</v>
      </c>
      <c r="S26" s="33">
        <v>200</v>
      </c>
      <c r="T26" s="134">
        <f>S26*(R26)</f>
        <v>40.533817626564797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2.0675089955329895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0.39544218778610229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0.83223974704742432</v>
      </c>
      <c r="P36" s="60">
        <f>IF(O36&gt;0.5,1,0)</f>
        <v>1</v>
      </c>
      <c r="Q36" s="63">
        <v>0.92837172746658325</v>
      </c>
      <c r="R36" s="63">
        <f t="shared" si="10"/>
        <v>0.44902911158906733</v>
      </c>
      <c r="S36" s="63">
        <v>1</v>
      </c>
      <c r="T36" s="82">
        <f>S36*R36</f>
        <v>0.44902911158906733</v>
      </c>
    </row>
    <row r="37" spans="13:20" x14ac:dyDescent="0.25">
      <c r="M37" s="79" t="s">
        <v>13</v>
      </c>
      <c r="N37" s="59">
        <v>1</v>
      </c>
      <c r="O37" s="54">
        <v>0.63997578620910645</v>
      </c>
      <c r="P37" s="59">
        <f>IF(O37&gt;0.5,1,0)</f>
        <v>1</v>
      </c>
      <c r="Q37" s="54">
        <v>0.97400516271591187</v>
      </c>
      <c r="R37" s="54">
        <f t="shared" si="10"/>
        <v>0.47110081011513089</v>
      </c>
      <c r="S37" s="54">
        <v>1</v>
      </c>
      <c r="T37" s="58">
        <f>S37*R37</f>
        <v>0.47110081011513089</v>
      </c>
    </row>
    <row r="38" spans="13:20" ht="15.75" thickBot="1" x14ac:dyDescent="0.3">
      <c r="M38" s="80" t="s">
        <v>15</v>
      </c>
      <c r="N38" s="76">
        <v>1</v>
      </c>
      <c r="O38" s="55">
        <v>0.11286246776580811</v>
      </c>
      <c r="P38" s="76">
        <f>IF(O38&gt;0.5,1,0)</f>
        <v>0</v>
      </c>
      <c r="Q38" s="55">
        <v>0</v>
      </c>
      <c r="R38" s="55">
        <f t="shared" si="10"/>
        <v>0</v>
      </c>
      <c r="S38" s="55">
        <v>5</v>
      </c>
      <c r="T38" s="77">
        <f>S38*(1-R38)</f>
        <v>5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0.16513210535049438</v>
      </c>
      <c r="R39" s="114">
        <f>$M$3/$Q$28 * Q39</f>
        <v>7.9870078295801797E-2</v>
      </c>
      <c r="S39" s="33">
        <v>100</v>
      </c>
      <c r="T39" s="134">
        <f>S39*(R39)</f>
        <v>7.9870078295801799</v>
      </c>
    </row>
  </sheetData>
  <conditionalFormatting sqref="T13 N13 Q13:R13 N4:T12">
    <cfRule type="expression" dxfId="28" priority="27">
      <formula>$N4=0</formula>
    </cfRule>
  </conditionalFormatting>
  <conditionalFormatting sqref="T13 Q13:R13 Q4:T12">
    <cfRule type="expression" dxfId="27" priority="28">
      <formula>$P4=0</formula>
    </cfRule>
  </conditionalFormatting>
  <conditionalFormatting sqref="N17:R25 T17:T25">
    <cfRule type="expression" dxfId="26" priority="25">
      <formula>$N17=0</formula>
    </cfRule>
  </conditionalFormatting>
  <conditionalFormatting sqref="Q17:R25 T17:T25">
    <cfRule type="expression" dxfId="25" priority="26">
      <formula>$P17=0</formula>
    </cfRule>
  </conditionalFormatting>
  <conditionalFormatting sqref="N30:R38 T30:T38">
    <cfRule type="expression" dxfId="24" priority="23">
      <formula>$N30=0</formula>
    </cfRule>
  </conditionalFormatting>
  <conditionalFormatting sqref="Q30:R38 T30:T38">
    <cfRule type="expression" dxfId="23" priority="24">
      <formula>$P30=0</formula>
    </cfRule>
  </conditionalFormatting>
  <conditionalFormatting sqref="S30:S31 S34:S38">
    <cfRule type="expression" dxfId="22" priority="15">
      <formula>$N30=0</formula>
    </cfRule>
  </conditionalFormatting>
  <conditionalFormatting sqref="S17:S18 S21:S25">
    <cfRule type="expression" dxfId="21" priority="17">
      <formula>$N17=0</formula>
    </cfRule>
  </conditionalFormatting>
  <conditionalFormatting sqref="S17:S18 S21:S25">
    <cfRule type="expression" dxfId="20" priority="18">
      <formula>$P17=0</formula>
    </cfRule>
  </conditionalFormatting>
  <conditionalFormatting sqref="S30:S31 S34:S38">
    <cfRule type="expression" dxfId="19" priority="16">
      <formula>$P30=0</formula>
    </cfRule>
  </conditionalFormatting>
  <conditionalFormatting sqref="T39 N39 Q39:R39">
    <cfRule type="expression" dxfId="18" priority="11">
      <formula>$N39=0</formula>
    </cfRule>
  </conditionalFormatting>
  <conditionalFormatting sqref="T26 N26 Q26:R26">
    <cfRule type="expression" dxfId="17" priority="13">
      <formula>$N26=0</formula>
    </cfRule>
  </conditionalFormatting>
  <conditionalFormatting sqref="T26 Q26:R26">
    <cfRule type="expression" dxfId="16" priority="14">
      <formula>$P26=0</formula>
    </cfRule>
  </conditionalFormatting>
  <conditionalFormatting sqref="T39 Q39:R39">
    <cfRule type="expression" dxfId="15" priority="12">
      <formula>$P39=0</formula>
    </cfRule>
  </conditionalFormatting>
  <conditionalFormatting sqref="AA6 W4:AA5 W6:Y6">
    <cfRule type="expression" dxfId="14" priority="29">
      <formula>#REF!=0</formula>
    </cfRule>
  </conditionalFormatting>
  <conditionalFormatting sqref="AA6 W4:AA5 W6:Y6">
    <cfRule type="expression" dxfId="13" priority="30">
      <formula>#REF!=0</formula>
    </cfRule>
  </conditionalFormatting>
  <conditionalFormatting sqref="S20">
    <cfRule type="expression" dxfId="12" priority="7">
      <formula>$N20=0</formula>
    </cfRule>
  </conditionalFormatting>
  <conditionalFormatting sqref="S20">
    <cfRule type="expression" dxfId="11" priority="8">
      <formula>$P20=0</formula>
    </cfRule>
  </conditionalFormatting>
  <conditionalFormatting sqref="S33">
    <cfRule type="expression" dxfId="10" priority="5">
      <formula>$N33=0</formula>
    </cfRule>
  </conditionalFormatting>
  <conditionalFormatting sqref="S33">
    <cfRule type="expression" dxfId="9" priority="6">
      <formula>$P33=0</formula>
    </cfRule>
  </conditionalFormatting>
  <conditionalFormatting sqref="S19">
    <cfRule type="expression" dxfId="8" priority="3">
      <formula>$N19=0</formula>
    </cfRule>
  </conditionalFormatting>
  <conditionalFormatting sqref="S19">
    <cfRule type="expression" dxfId="7" priority="4">
      <formula>$P19=0</formula>
    </cfRule>
  </conditionalFormatting>
  <conditionalFormatting sqref="S32">
    <cfRule type="expression" dxfId="6" priority="1">
      <formula>$N32=0</formula>
    </cfRule>
  </conditionalFormatting>
  <conditionalFormatting sqref="S32">
    <cfRule type="expression" dxfId="5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9" sqref="I9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Column (Aoe) Ranged Projectile</v>
      </c>
      <c r="J5" s="52">
        <f>IF(F7="x",J7,IF(F8="x",J8,IF(F9="x",J9,IF(F10="x",J10,IF(F11="x",J11,IF(F12="x",J12,IF(F13="x",J13,IF(F14="x",J14,IF(F15="x",J15,IF(F16="x",J16,""))))))))))</f>
        <v>0.33</v>
      </c>
    </row>
    <row r="6" spans="2:13" ht="15.75" thickBot="1" x14ac:dyDescent="0.3">
      <c r="B6" s="46" t="s">
        <v>18</v>
      </c>
      <c r="C6" s="47"/>
      <c r="G6" s="38">
        <v>0.41484785079956055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>x</v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10" sqref="AK10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16</v>
      </c>
      <c r="S9" s="7" t="s">
        <v>16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16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16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16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16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16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16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16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16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16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16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16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16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16</v>
      </c>
      <c r="T25" s="7" t="s">
        <v>16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4" priority="3" operator="equal">
      <formula>"h"</formula>
    </cfRule>
    <cfRule type="cellIs" dxfId="3" priority="4" operator="equal">
      <formula>"d"</formula>
    </cfRule>
    <cfRule type="cellIs" dxfId="2" priority="5" operator="equal">
      <formula>"o"</formula>
    </cfRule>
    <cfRule type="cellIs" dxfId="1" priority="6" operator="equal">
      <formula>"x"</formula>
    </cfRule>
    <cfRule type="colorScale" priority="2">
      <colorScale>
        <cfvo type="min"/>
        <cfvo type="max"/>
        <color rgb="FFFF7128"/>
        <color rgb="FFFFEF9C"/>
      </colorScale>
    </cfRule>
    <cfRule type="cellIs" dxfId="0" priority="1" operator="equal">
      <formula>"s"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2015-06-06T05:50:17Z</dcterms:modified>
</cp:coreProperties>
</file>