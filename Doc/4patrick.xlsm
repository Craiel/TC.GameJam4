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e Sun\Desktop\GitHub\jam1\Doc\"/>
    </mc:Choice>
  </mc:AlternateContent>
  <bookViews>
    <workbookView xWindow="0" yWindow="0" windowWidth="25125" windowHeight="12435" activeTab="1"/>
  </bookViews>
  <sheets>
    <sheet name="Guidelines" sheetId="5" r:id="rId1"/>
    <sheet name="MechRoller" sheetId="6" r:id="rId2"/>
    <sheet name="WeaponRoller" sheetId="7" r:id="rId3"/>
    <sheet name="Mapper" sheetId="8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" i="8" l="1"/>
  <c r="AE1" i="8"/>
  <c r="AD1" i="8"/>
  <c r="D1" i="8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B31" i="8" l="1"/>
  <c r="B30" i="8"/>
  <c r="B29" i="8"/>
  <c r="B3" i="8"/>
  <c r="B4" i="8" s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F7" i="7" l="1"/>
  <c r="F9" i="7"/>
  <c r="F10" i="7"/>
  <c r="F11" i="7"/>
  <c r="F12" i="7"/>
  <c r="F13" i="7"/>
  <c r="F14" i="7"/>
  <c r="F15" i="7"/>
  <c r="F16" i="7"/>
  <c r="W2" i="6"/>
  <c r="X4" i="6" s="1"/>
  <c r="AA4" i="6" s="1"/>
  <c r="I16" i="6" s="1"/>
  <c r="H6" i="7"/>
  <c r="G9" i="7" s="1"/>
  <c r="J16" i="7"/>
  <c r="J15" i="7"/>
  <c r="J14" i="7"/>
  <c r="J13" i="7"/>
  <c r="J12" i="7"/>
  <c r="J11" i="7"/>
  <c r="J10" i="7"/>
  <c r="J9" i="7"/>
  <c r="J8" i="7"/>
  <c r="J7" i="7"/>
  <c r="Q28" i="6"/>
  <c r="R35" i="6" s="1"/>
  <c r="Q15" i="6"/>
  <c r="R18" i="6" s="1"/>
  <c r="Q2" i="6"/>
  <c r="R12" i="6" s="1"/>
  <c r="T12" i="6" s="1"/>
  <c r="P30" i="6"/>
  <c r="P38" i="6"/>
  <c r="P37" i="6"/>
  <c r="P36" i="6"/>
  <c r="P35" i="6"/>
  <c r="H8" i="6" s="1"/>
  <c r="P34" i="6"/>
  <c r="H7" i="6" s="1"/>
  <c r="P33" i="6"/>
  <c r="P32" i="6"/>
  <c r="H5" i="6" s="1"/>
  <c r="P31" i="6"/>
  <c r="P25" i="6"/>
  <c r="P24" i="6"/>
  <c r="P23" i="6"/>
  <c r="P22" i="6"/>
  <c r="P21" i="6"/>
  <c r="P20" i="6"/>
  <c r="P19" i="6"/>
  <c r="G5" i="6" s="1"/>
  <c r="P18" i="6"/>
  <c r="G4" i="6" s="1"/>
  <c r="P17" i="6"/>
  <c r="P9" i="6"/>
  <c r="F8" i="6" s="1"/>
  <c r="P12" i="6"/>
  <c r="P11" i="6"/>
  <c r="P10" i="6"/>
  <c r="P8" i="6"/>
  <c r="F7" i="6" s="1"/>
  <c r="P7" i="6"/>
  <c r="P6" i="6"/>
  <c r="P5" i="6"/>
  <c r="P4" i="6"/>
  <c r="I16" i="5"/>
  <c r="H16" i="5"/>
  <c r="G16" i="5"/>
  <c r="F16" i="5"/>
  <c r="E16" i="5"/>
  <c r="X6" i="6" l="1"/>
  <c r="AA6" i="6" s="1"/>
  <c r="I15" i="6" s="1"/>
  <c r="X5" i="6"/>
  <c r="AA5" i="6" s="1"/>
  <c r="G10" i="7"/>
  <c r="G11" i="7"/>
  <c r="G12" i="7"/>
  <c r="G13" i="7"/>
  <c r="G14" i="7"/>
  <c r="G7" i="7"/>
  <c r="G15" i="7"/>
  <c r="G8" i="7"/>
  <c r="F8" i="7" s="1"/>
  <c r="G16" i="7"/>
  <c r="R39" i="6"/>
  <c r="T39" i="6" s="1"/>
  <c r="H15" i="6" s="1"/>
  <c r="R26" i="6"/>
  <c r="T26" i="6" s="1"/>
  <c r="G15" i="6" s="1"/>
  <c r="R13" i="6"/>
  <c r="T13" i="6" s="1"/>
  <c r="F15" i="6" s="1"/>
  <c r="F11" i="6"/>
  <c r="R19" i="6"/>
  <c r="T19" i="6" s="1"/>
  <c r="R22" i="6"/>
  <c r="T22" i="6" s="1"/>
  <c r="G8" i="6" s="1"/>
  <c r="K8" i="6" s="1"/>
  <c r="R23" i="6"/>
  <c r="T23" i="6" s="1"/>
  <c r="G9" i="6" s="1"/>
  <c r="R24" i="6"/>
  <c r="T24" i="6" s="1"/>
  <c r="G10" i="6" s="1"/>
  <c r="R20" i="6"/>
  <c r="T20" i="6" s="1"/>
  <c r="G6" i="6" s="1"/>
  <c r="R21" i="6"/>
  <c r="T21" i="6" s="1"/>
  <c r="G7" i="6" s="1"/>
  <c r="K7" i="6" s="1"/>
  <c r="R17" i="6"/>
  <c r="R25" i="6"/>
  <c r="T25" i="6" s="1"/>
  <c r="G11" i="6" s="1"/>
  <c r="R36" i="6"/>
  <c r="T36" i="6" s="1"/>
  <c r="H9" i="6" s="1"/>
  <c r="R37" i="6"/>
  <c r="T37" i="6" s="1"/>
  <c r="H10" i="6" s="1"/>
  <c r="R30" i="6"/>
  <c r="R31" i="6"/>
  <c r="T31" i="6" s="1"/>
  <c r="H4" i="6" s="1"/>
  <c r="R32" i="6"/>
  <c r="T32" i="6" s="1"/>
  <c r="R33" i="6"/>
  <c r="T33" i="6" s="1"/>
  <c r="H6" i="6" s="1"/>
  <c r="R38" i="6"/>
  <c r="T38" i="6" s="1"/>
  <c r="H11" i="6" s="1"/>
  <c r="R34" i="6"/>
  <c r="T34" i="6" s="1"/>
  <c r="T35" i="6"/>
  <c r="T18" i="6"/>
  <c r="R5" i="6"/>
  <c r="T5" i="6" s="1"/>
  <c r="F4" i="6" s="1"/>
  <c r="R9" i="6"/>
  <c r="T9" i="6" s="1"/>
  <c r="R6" i="6"/>
  <c r="R7" i="6"/>
  <c r="T7" i="6" s="1"/>
  <c r="F6" i="6" s="1"/>
  <c r="R10" i="6"/>
  <c r="T10" i="6" s="1"/>
  <c r="F9" i="6" s="1"/>
  <c r="R4" i="6"/>
  <c r="R8" i="6"/>
  <c r="T8" i="6" s="1"/>
  <c r="R11" i="6"/>
  <c r="T11" i="6" s="1"/>
  <c r="F10" i="6" s="1"/>
  <c r="T6" i="6" l="1"/>
  <c r="F5" i="6" s="1"/>
  <c r="K5" i="6" s="1"/>
  <c r="X2" i="6"/>
  <c r="T4" i="6"/>
  <c r="F3" i="6" s="1"/>
  <c r="R2" i="6"/>
  <c r="T30" i="6"/>
  <c r="H3" i="6" s="1"/>
  <c r="R28" i="6"/>
  <c r="T17" i="6"/>
  <c r="G3" i="6" s="1"/>
  <c r="R15" i="6"/>
  <c r="K6" i="6"/>
  <c r="K9" i="6"/>
  <c r="K11" i="6"/>
  <c r="K10" i="6"/>
  <c r="K4" i="6"/>
  <c r="J5" i="7" l="1"/>
  <c r="I17" i="6" s="1"/>
  <c r="I18" i="6" s="1"/>
  <c r="I5" i="7"/>
  <c r="I14" i="6" s="1"/>
  <c r="K3" i="6"/>
</calcChain>
</file>

<file path=xl/sharedStrings.xml><?xml version="1.0" encoding="utf-8"?>
<sst xmlns="http://schemas.openxmlformats.org/spreadsheetml/2006/main" count="1102" uniqueCount="93">
  <si>
    <t>head</t>
  </si>
  <si>
    <t>torso</t>
  </si>
  <si>
    <t>right arm</t>
  </si>
  <si>
    <t>left arm</t>
  </si>
  <si>
    <t>legs</t>
  </si>
  <si>
    <t>Targetting Distance</t>
  </si>
  <si>
    <t>Targetting Lock Time</t>
  </si>
  <si>
    <t>Damage</t>
  </si>
  <si>
    <t>Armor</t>
  </si>
  <si>
    <t>Shields</t>
  </si>
  <si>
    <t>%ranged hit</t>
  </si>
  <si>
    <t>%melee hit</t>
  </si>
  <si>
    <t>Hull</t>
  </si>
  <si>
    <t>Speed</t>
  </si>
  <si>
    <t>Heat</t>
  </si>
  <si>
    <t>Coolant</t>
  </si>
  <si>
    <t>x</t>
  </si>
  <si>
    <t xml:space="preserve">Bounce </t>
  </si>
  <si>
    <t>Action Tags</t>
  </si>
  <si>
    <t>Targetted</t>
  </si>
  <si>
    <t>Grapple</t>
  </si>
  <si>
    <t>Melee</t>
  </si>
  <si>
    <t>Ranged</t>
  </si>
  <si>
    <t>Stat boost</t>
  </si>
  <si>
    <t>Rolls</t>
  </si>
  <si>
    <t>Normalized Rolls</t>
  </si>
  <si>
    <t>Budget</t>
  </si>
  <si>
    <t>Score</t>
  </si>
  <si>
    <t>Meta Flag</t>
  </si>
  <si>
    <t>Actual Flag</t>
  </si>
  <si>
    <t>Flag Roll</t>
  </si>
  <si>
    <t>Ranged Accuracy</t>
  </si>
  <si>
    <t>Melee Accuracy</t>
  </si>
  <si>
    <t>Turning radius</t>
  </si>
  <si>
    <t>Mech Stats</t>
  </si>
  <si>
    <t>Part Stats</t>
  </si>
  <si>
    <t>Heal</t>
  </si>
  <si>
    <t>Action Type</t>
  </si>
  <si>
    <t>Aoe Column</t>
  </si>
  <si>
    <t>Aoe Circle</t>
  </si>
  <si>
    <t>Damage Mod</t>
  </si>
  <si>
    <t>Baseline Mech</t>
  </si>
  <si>
    <t>(melee only)</t>
  </si>
  <si>
    <t>(ranged only)</t>
  </si>
  <si>
    <t>Head</t>
  </si>
  <si>
    <t>Total</t>
  </si>
  <si>
    <t>Heat / Use</t>
  </si>
  <si>
    <t>all damage reduction</t>
  </si>
  <si>
    <t>energy damage absorb total mech (regen fixed percent of total)</t>
  </si>
  <si>
    <t>Shield</t>
  </si>
  <si>
    <t>Rotation Speed</t>
  </si>
  <si>
    <t>Move Speed</t>
  </si>
  <si>
    <t>Ability Trigger</t>
  </si>
  <si>
    <t>heat reduction rate /time</t>
  </si>
  <si>
    <t>20/100</t>
  </si>
  <si>
    <t>heat per minimum move distance</t>
  </si>
  <si>
    <t>Torso</t>
  </si>
  <si>
    <t>Legs</t>
  </si>
  <si>
    <t>/second</t>
  </si>
  <si>
    <t>seconds</t>
  </si>
  <si>
    <t>Range Type</t>
  </si>
  <si>
    <t>Energy Damage</t>
  </si>
  <si>
    <t>Physical Damage</t>
  </si>
  <si>
    <t>Turn Speed</t>
  </si>
  <si>
    <t>Right Arm</t>
  </si>
  <si>
    <t>Left Arm</t>
  </si>
  <si>
    <t>Targetted Melee Physical</t>
  </si>
  <si>
    <t>Targetted Melee Energy</t>
  </si>
  <si>
    <t>Targetted Ranged Energy</t>
  </si>
  <si>
    <t>Targetted Ranged Projectile</t>
  </si>
  <si>
    <t>Bounce Ranged Projectile</t>
  </si>
  <si>
    <t>Bounce Ranged Energy</t>
  </si>
  <si>
    <t>DmgX</t>
  </si>
  <si>
    <t>Self Heal</t>
  </si>
  <si>
    <t>Grappler</t>
  </si>
  <si>
    <t>Speed Boost</t>
  </si>
  <si>
    <t>Plant Bomb</t>
  </si>
  <si>
    <t>Melee Stunner</t>
  </si>
  <si>
    <t>Invisibilty</t>
  </si>
  <si>
    <t>Circle (Aoe) Melee Physical</t>
  </si>
  <si>
    <t>Circle (Aoe) Melee Energy</t>
  </si>
  <si>
    <t>Column (Aoe) Ranged Energy</t>
  </si>
  <si>
    <t>Column (Aoe) Ranged Projectile</t>
  </si>
  <si>
    <t>indestructable</t>
  </si>
  <si>
    <t>o</t>
  </si>
  <si>
    <t>path</t>
  </si>
  <si>
    <t>h</t>
  </si>
  <si>
    <t>half wall</t>
  </si>
  <si>
    <t>d</t>
  </si>
  <si>
    <t>destructible</t>
  </si>
  <si>
    <t>s</t>
  </si>
  <si>
    <t>spawn</t>
  </si>
  <si>
    <t>tiles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</si>
</sst>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3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5" xfId="0" applyFill="1" applyBorder="1"/>
    <xf numFmtId="0" fontId="4" fillId="0" borderId="0" xfId="0" applyFont="1"/>
    <xf numFmtId="0" fontId="0" fillId="0" borderId="11" xfId="0" applyBorder="1"/>
    <xf numFmtId="0" fontId="0" fillId="0" borderId="2" xfId="0" applyFill="1" applyBorder="1"/>
    <xf numFmtId="0" fontId="0" fillId="0" borderId="7" xfId="0" applyFill="1" applyBorder="1"/>
    <xf numFmtId="0" fontId="0" fillId="0" borderId="18" xfId="0" applyFill="1" applyBorder="1"/>
    <xf numFmtId="0" fontId="0" fillId="0" borderId="21" xfId="0" applyFill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Fill="1" applyBorder="1" applyAlignment="1"/>
    <xf numFmtId="0" fontId="4" fillId="0" borderId="0" xfId="0" applyFont="1" applyAlignment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/>
    <xf numFmtId="0" fontId="0" fillId="0" borderId="1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2" fillId="2" borderId="1" xfId="0" applyFont="1" applyFill="1" applyBorder="1"/>
    <xf numFmtId="0" fontId="0" fillId="0" borderId="0" xfId="0" applyAlignment="1">
      <alignment horizontal="left"/>
    </xf>
    <xf numFmtId="0" fontId="2" fillId="2" borderId="24" xfId="0" applyFont="1" applyFill="1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2" borderId="21" xfId="0" applyFont="1" applyFill="1" applyBorder="1" applyAlignment="1"/>
    <xf numFmtId="0" fontId="0" fillId="0" borderId="1" xfId="0" applyBorder="1"/>
    <xf numFmtId="2" fontId="0" fillId="0" borderId="10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Fill="1" applyBorder="1"/>
    <xf numFmtId="2" fontId="0" fillId="5" borderId="14" xfId="0" applyNumberFormat="1" applyFill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9" fontId="0" fillId="5" borderId="14" xfId="1" applyFont="1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2" xfId="0" applyFill="1" applyBorder="1" applyAlignment="1"/>
    <xf numFmtId="0" fontId="0" fillId="0" borderId="15" xfId="0" applyFill="1" applyBorder="1"/>
    <xf numFmtId="0" fontId="0" fillId="0" borderId="29" xfId="0" applyFill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5" fillId="4" borderId="22" xfId="0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0" fillId="0" borderId="0" xfId="0" applyFill="1" applyBorder="1"/>
    <xf numFmtId="2" fontId="0" fillId="0" borderId="1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5" borderId="27" xfId="0" applyNumberFormat="1" applyFill="1" applyBorder="1" applyAlignment="1">
      <alignment horizontal="center"/>
    </xf>
    <xf numFmtId="0" fontId="2" fillId="3" borderId="10" xfId="0" applyFont="1" applyFill="1" applyBorder="1" applyAlignment="1"/>
    <xf numFmtId="0" fontId="2" fillId="3" borderId="14" xfId="0" applyFont="1" applyFill="1" applyBorder="1"/>
    <xf numFmtId="0" fontId="2" fillId="3" borderId="27" xfId="0" applyFont="1" applyFill="1" applyBorder="1"/>
    <xf numFmtId="0" fontId="2" fillId="3" borderId="28" xfId="0" applyFont="1" applyFill="1" applyBorder="1"/>
    <xf numFmtId="2" fontId="0" fillId="5" borderId="28" xfId="0" applyNumberFormat="1" applyFill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9" fontId="0" fillId="5" borderId="10" xfId="1" applyFont="1" applyFill="1" applyBorder="1" applyAlignment="1">
      <alignment horizontal="center"/>
    </xf>
    <xf numFmtId="0" fontId="0" fillId="0" borderId="42" xfId="0" applyFill="1" applyBorder="1"/>
    <xf numFmtId="0" fontId="3" fillId="4" borderId="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/>
    <xf numFmtId="0" fontId="0" fillId="3" borderId="31" xfId="0" applyFill="1" applyBorder="1"/>
    <xf numFmtId="0" fontId="5" fillId="4" borderId="0" xfId="0" applyFont="1" applyFill="1" applyBorder="1" applyAlignment="1">
      <alignment horizontal="center"/>
    </xf>
    <xf numFmtId="9" fontId="0" fillId="0" borderId="44" xfId="1" applyFont="1" applyBorder="1" applyAlignment="1">
      <alignment horizontal="center"/>
    </xf>
    <xf numFmtId="9" fontId="0" fillId="0" borderId="32" xfId="1" applyFont="1" applyBorder="1" applyAlignment="1">
      <alignment horizontal="center"/>
    </xf>
    <xf numFmtId="9" fontId="0" fillId="0" borderId="45" xfId="1" applyFont="1" applyBorder="1" applyAlignment="1"/>
    <xf numFmtId="9" fontId="0" fillId="0" borderId="46" xfId="1" applyFont="1" applyBorder="1" applyAlignment="1"/>
    <xf numFmtId="9" fontId="0" fillId="0" borderId="33" xfId="1" applyFont="1" applyBorder="1"/>
    <xf numFmtId="9" fontId="0" fillId="0" borderId="34" xfId="1" applyFont="1" applyBorder="1"/>
    <xf numFmtId="2" fontId="0" fillId="0" borderId="33" xfId="0" applyNumberFormat="1" applyBorder="1"/>
    <xf numFmtId="2" fontId="0" fillId="0" borderId="34" xfId="0" applyNumberFormat="1" applyBorder="1"/>
    <xf numFmtId="2" fontId="0" fillId="0" borderId="49" xfId="0" applyNumberFormat="1" applyFill="1" applyBorder="1"/>
    <xf numFmtId="9" fontId="3" fillId="5" borderId="10" xfId="1" applyFont="1" applyFill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2" fontId="0" fillId="0" borderId="50" xfId="0" applyNumberFormat="1" applyFill="1" applyBorder="1"/>
    <xf numFmtId="2" fontId="0" fillId="0" borderId="45" xfId="0" applyNumberFormat="1" applyFill="1" applyBorder="1"/>
    <xf numFmtId="9" fontId="0" fillId="0" borderId="24" xfId="0" applyNumberFormat="1" applyBorder="1" applyAlignment="1">
      <alignment horizontal="center"/>
    </xf>
    <xf numFmtId="9" fontId="0" fillId="0" borderId="28" xfId="1" applyFont="1" applyBorder="1" applyAlignment="1">
      <alignment horizontal="center"/>
    </xf>
    <xf numFmtId="1" fontId="0" fillId="0" borderId="24" xfId="0" applyNumberFormat="1" applyFill="1" applyBorder="1" applyAlignment="1">
      <alignment horizontal="center"/>
    </xf>
    <xf numFmtId="2" fontId="0" fillId="0" borderId="24" xfId="0" applyNumberFormat="1" applyFill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2" fontId="0" fillId="0" borderId="46" xfId="0" applyNumberFormat="1" applyFill="1" applyBorder="1"/>
    <xf numFmtId="2" fontId="0" fillId="0" borderId="45" xfId="0" applyNumberFormat="1" applyFill="1" applyBorder="1" applyAlignment="1"/>
    <xf numFmtId="2" fontId="0" fillId="0" borderId="36" xfId="0" applyNumberFormat="1" applyBorder="1"/>
    <xf numFmtId="2" fontId="0" fillId="0" borderId="37" xfId="0" applyNumberFormat="1" applyBorder="1"/>
    <xf numFmtId="2" fontId="0" fillId="0" borderId="46" xfId="0" applyNumberFormat="1" applyFill="1" applyBorder="1" applyAlignment="1"/>
    <xf numFmtId="2" fontId="0" fillId="0" borderId="36" xfId="0" applyNumberFormat="1" applyFill="1" applyBorder="1"/>
    <xf numFmtId="2" fontId="0" fillId="0" borderId="37" xfId="0" applyNumberFormat="1" applyFill="1" applyBorder="1"/>
    <xf numFmtId="0" fontId="2" fillId="2" borderId="22" xfId="0" applyFont="1" applyFill="1" applyBorder="1" applyAlignment="1"/>
    <xf numFmtId="0" fontId="2" fillId="2" borderId="23" xfId="0" applyFont="1" applyFill="1" applyBorder="1" applyAlignment="1"/>
    <xf numFmtId="1" fontId="0" fillId="0" borderId="25" xfId="0" applyNumberFormat="1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2" fontId="0" fillId="0" borderId="51" xfId="0" applyNumberFormat="1" applyFill="1" applyBorder="1"/>
    <xf numFmtId="2" fontId="0" fillId="0" borderId="52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0" fillId="0" borderId="42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2" fillId="3" borderId="26" xfId="0" applyFont="1" applyFill="1" applyBorder="1"/>
    <xf numFmtId="1" fontId="0" fillId="0" borderId="26" xfId="0" applyNumberFormat="1" applyFill="1" applyBorder="1" applyAlignment="1">
      <alignment horizontal="center"/>
    </xf>
    <xf numFmtId="2" fontId="0" fillId="5" borderId="26" xfId="0" applyNumberFormat="1" applyFill="1" applyBorder="1" applyAlignment="1">
      <alignment horizontal="center"/>
    </xf>
    <xf numFmtId="0" fontId="0" fillId="0" borderId="24" xfId="0" applyBorder="1" applyAlignment="1">
      <alignment horizontal="left"/>
    </xf>
    <xf numFmtId="1" fontId="0" fillId="0" borderId="39" xfId="0" applyNumberFormat="1" applyBorder="1"/>
    <xf numFmtId="0" fontId="0" fillId="3" borderId="2" xfId="0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 applyAlignment="1">
      <alignment horizontal="center"/>
    </xf>
    <xf numFmtId="0" fontId="0" fillId="3" borderId="9" xfId="0" applyFill="1" applyBorder="1"/>
    <xf numFmtId="0" fontId="0" fillId="3" borderId="41" xfId="0" applyFill="1" applyBorder="1" applyAlignment="1">
      <alignment horizontal="center"/>
    </xf>
    <xf numFmtId="0" fontId="0" fillId="3" borderId="42" xfId="0" applyFill="1" applyBorder="1"/>
    <xf numFmtId="0" fontId="0" fillId="3" borderId="43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2" fontId="0" fillId="0" borderId="22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" fontId="0" fillId="5" borderId="10" xfId="1" applyNumberFormat="1" applyFont="1" applyFill="1" applyBorder="1" applyAlignment="1">
      <alignment horizontal="center"/>
    </xf>
    <xf numFmtId="0" fontId="0" fillId="0" borderId="29" xfId="0" applyBorder="1"/>
    <xf numFmtId="1" fontId="0" fillId="0" borderId="42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36" xfId="0" applyNumberFormat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9"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1038225</xdr:colOff>
      <xdr:row>1</xdr:row>
      <xdr:rowOff>47625</xdr:rowOff>
    </xdr:from>
    <xdr:to>
      <xdr:col>12</xdr:col>
      <xdr:colOff>1895475</xdr:colOff>
      <xdr:row>2</xdr:row>
      <xdr:rowOff>180976</xdr:rowOff>
    </xdr:to>
    <xdr:sp macro="[0]!RollHead" textlink="">
      <xdr:nvSpPr>
        <xdr:cNvPr id="2" name="Rectangle 1"/>
        <xdr:cNvSpPr/>
      </xdr:nvSpPr>
      <xdr:spPr>
        <a:xfrm>
          <a:off x="9020175" y="2476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Head</a:t>
          </a:r>
        </a:p>
      </xdr:txBody>
    </xdr:sp>
    <xdr:clientData/>
  </xdr:twoCellAnchor>
  <xdr:twoCellAnchor>
    <xdr:from>
      <xdr:col>12</xdr:col>
      <xdr:colOff>1038225</xdr:colOff>
      <xdr:row>14</xdr:row>
      <xdr:rowOff>47625</xdr:rowOff>
    </xdr:from>
    <xdr:to>
      <xdr:col>12</xdr:col>
      <xdr:colOff>1895475</xdr:colOff>
      <xdr:row>15</xdr:row>
      <xdr:rowOff>180976</xdr:rowOff>
    </xdr:to>
    <xdr:sp macro="[0]!RollTorso" textlink="">
      <xdr:nvSpPr>
        <xdr:cNvPr id="3" name="Rectangle 2"/>
        <xdr:cNvSpPr/>
      </xdr:nvSpPr>
      <xdr:spPr>
        <a:xfrm>
          <a:off x="8515350" y="2828925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</a:t>
          </a:r>
          <a:r>
            <a:rPr lang="en-US" sz="1100" baseline="0"/>
            <a:t> Torso</a:t>
          </a:r>
          <a:endParaRPr lang="en-US" sz="1100"/>
        </a:p>
      </xdr:txBody>
    </xdr:sp>
    <xdr:clientData/>
  </xdr:twoCellAnchor>
  <xdr:twoCellAnchor>
    <xdr:from>
      <xdr:col>12</xdr:col>
      <xdr:colOff>1047750</xdr:colOff>
      <xdr:row>27</xdr:row>
      <xdr:rowOff>76201</xdr:rowOff>
    </xdr:from>
    <xdr:to>
      <xdr:col>12</xdr:col>
      <xdr:colOff>1905000</xdr:colOff>
      <xdr:row>28</xdr:row>
      <xdr:rowOff>187326</xdr:rowOff>
    </xdr:to>
    <xdr:sp macro="[0]!RollLegs" textlink="">
      <xdr:nvSpPr>
        <xdr:cNvPr id="4" name="Rectangle 3"/>
        <xdr:cNvSpPr/>
      </xdr:nvSpPr>
      <xdr:spPr>
        <a:xfrm>
          <a:off x="8524875" y="5400676"/>
          <a:ext cx="857250" cy="311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Legs</a:t>
          </a:r>
        </a:p>
      </xdr:txBody>
    </xdr:sp>
    <xdr:clientData/>
  </xdr:twoCellAnchor>
  <xdr:twoCellAnchor>
    <xdr:from>
      <xdr:col>20</xdr:col>
      <xdr:colOff>600075</xdr:colOff>
      <xdr:row>6</xdr:row>
      <xdr:rowOff>133350</xdr:rowOff>
    </xdr:from>
    <xdr:to>
      <xdr:col>22</xdr:col>
      <xdr:colOff>504825</xdr:colOff>
      <xdr:row>8</xdr:row>
      <xdr:rowOff>66676</xdr:rowOff>
    </xdr:to>
    <xdr:sp macro="[0]!RollRightArm" textlink="">
      <xdr:nvSpPr>
        <xdr:cNvPr id="6" name="Rectangle 5"/>
        <xdr:cNvSpPr/>
      </xdr:nvSpPr>
      <xdr:spPr>
        <a:xfrm>
          <a:off x="15001875" y="1314450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  <xdr:twoCellAnchor>
    <xdr:from>
      <xdr:col>1</xdr:col>
      <xdr:colOff>171450</xdr:colOff>
      <xdr:row>2</xdr:row>
      <xdr:rowOff>76200</xdr:rowOff>
    </xdr:from>
    <xdr:to>
      <xdr:col>2</xdr:col>
      <xdr:colOff>419100</xdr:colOff>
      <xdr:row>4</xdr:row>
      <xdr:rowOff>19051</xdr:rowOff>
    </xdr:to>
    <xdr:sp macro="[0]!RollAll" textlink="">
      <xdr:nvSpPr>
        <xdr:cNvPr id="10" name="Rectangle 9"/>
        <xdr:cNvSpPr/>
      </xdr:nvSpPr>
      <xdr:spPr>
        <a:xfrm>
          <a:off x="781050" y="4762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4:L39"/>
  <sheetViews>
    <sheetView workbookViewId="0">
      <selection activeCell="K24" sqref="K24"/>
    </sheetView>
  </sheetViews>
  <sheetFormatPr defaultRowHeight="15" x14ac:dyDescent="0.25"/>
  <cols>
    <col min="4" max="4" width="19.42578125" bestFit="1" customWidth="1"/>
    <col min="5" max="5" width="6" bestFit="1" customWidth="1"/>
    <col min="9" max="9" width="5" bestFit="1" customWidth="1"/>
    <col min="10" max="10" width="79.28515625" bestFit="1" customWidth="1"/>
  </cols>
  <sheetData>
    <row r="4" spans="4:12" ht="15.75" thickBot="1" x14ac:dyDescent="0.3"/>
    <row r="5" spans="4:12" ht="15.75" thickBot="1" x14ac:dyDescent="0.3">
      <c r="D5" s="160" t="s">
        <v>34</v>
      </c>
      <c r="E5" s="161"/>
      <c r="F5" s="161"/>
      <c r="G5" s="161"/>
      <c r="H5" s="161"/>
      <c r="I5" s="162"/>
    </row>
    <row r="6" spans="4:12" ht="15.75" thickBot="1" x14ac:dyDescent="0.3">
      <c r="D6" s="42"/>
      <c r="E6" s="39" t="s">
        <v>0</v>
      </c>
      <c r="F6" s="40" t="s">
        <v>1</v>
      </c>
      <c r="G6" s="40" t="s">
        <v>2</v>
      </c>
      <c r="H6" s="40" t="s">
        <v>3</v>
      </c>
      <c r="I6" s="41" t="s">
        <v>4</v>
      </c>
      <c r="J6" s="7"/>
      <c r="K6" s="95" t="s">
        <v>14</v>
      </c>
      <c r="L6" s="95" t="s">
        <v>54</v>
      </c>
    </row>
    <row r="7" spans="4:12" x14ac:dyDescent="0.25">
      <c r="D7" s="35" t="s">
        <v>31</v>
      </c>
      <c r="E7" s="19" t="s">
        <v>16</v>
      </c>
      <c r="F7" s="34" t="s">
        <v>16</v>
      </c>
      <c r="G7" s="34"/>
      <c r="H7" s="34"/>
      <c r="I7" s="28"/>
      <c r="J7" s="27" t="s">
        <v>10</v>
      </c>
    </row>
    <row r="8" spans="4:12" x14ac:dyDescent="0.25">
      <c r="D8" s="10" t="s">
        <v>32</v>
      </c>
      <c r="E8" s="21" t="s">
        <v>16</v>
      </c>
      <c r="F8" s="36"/>
      <c r="G8" s="36"/>
      <c r="H8" s="36"/>
      <c r="I8" s="30" t="s">
        <v>16</v>
      </c>
      <c r="J8" s="9" t="s">
        <v>11</v>
      </c>
    </row>
    <row r="9" spans="4:12" x14ac:dyDescent="0.25">
      <c r="D9" s="1" t="s">
        <v>5</v>
      </c>
      <c r="E9" s="20" t="s">
        <v>16</v>
      </c>
      <c r="F9" s="32"/>
      <c r="G9" s="32"/>
      <c r="H9" s="32"/>
      <c r="I9" s="29"/>
    </row>
    <row r="10" spans="4:12" ht="15.75" thickBot="1" x14ac:dyDescent="0.3">
      <c r="D10" s="10" t="s">
        <v>6</v>
      </c>
      <c r="E10" s="21" t="s">
        <v>16</v>
      </c>
      <c r="F10" s="36"/>
      <c r="G10" s="36"/>
      <c r="H10" s="36"/>
      <c r="I10" s="30"/>
    </row>
    <row r="11" spans="4:12" x14ac:dyDescent="0.25">
      <c r="D11" s="26" t="s">
        <v>8</v>
      </c>
      <c r="E11" s="23"/>
      <c r="F11" s="24" t="s">
        <v>16</v>
      </c>
      <c r="G11" s="24"/>
      <c r="H11" s="24"/>
      <c r="I11" s="25"/>
      <c r="J11" s="27" t="s">
        <v>47</v>
      </c>
    </row>
    <row r="12" spans="4:12" ht="15.75" thickBot="1" x14ac:dyDescent="0.3">
      <c r="D12" s="65" t="s">
        <v>9</v>
      </c>
      <c r="E12" s="22"/>
      <c r="F12" s="37" t="s">
        <v>16</v>
      </c>
      <c r="G12" s="37"/>
      <c r="H12" s="37"/>
      <c r="I12" s="31"/>
      <c r="J12" s="9" t="s">
        <v>48</v>
      </c>
    </row>
    <row r="13" spans="4:12" x14ac:dyDescent="0.25">
      <c r="D13" s="13" t="s">
        <v>50</v>
      </c>
      <c r="E13" s="23" t="s">
        <v>16</v>
      </c>
      <c r="F13" s="24" t="s">
        <v>16</v>
      </c>
      <c r="G13" s="24"/>
      <c r="H13" s="24"/>
      <c r="I13" s="25" t="s">
        <v>16</v>
      </c>
      <c r="J13" s="9"/>
    </row>
    <row r="14" spans="4:12" ht="15.75" thickBot="1" x14ac:dyDescent="0.3">
      <c r="D14" s="66" t="s">
        <v>13</v>
      </c>
      <c r="E14" s="67" t="s">
        <v>16</v>
      </c>
      <c r="F14" s="68" t="s">
        <v>16</v>
      </c>
      <c r="G14" s="68"/>
      <c r="H14" s="68"/>
      <c r="I14" s="69" t="s">
        <v>16</v>
      </c>
    </row>
    <row r="15" spans="4:12" ht="15.75" thickBot="1" x14ac:dyDescent="0.3">
      <c r="D15" s="66" t="s">
        <v>15</v>
      </c>
      <c r="E15" s="67"/>
      <c r="F15" s="68" t="s">
        <v>16</v>
      </c>
      <c r="G15" s="68"/>
      <c r="H15" s="68"/>
      <c r="I15" s="69" t="s">
        <v>16</v>
      </c>
      <c r="J15" s="9" t="s">
        <v>53</v>
      </c>
    </row>
    <row r="16" spans="4:12" x14ac:dyDescent="0.25">
      <c r="E16" s="7">
        <f>COUNTIF(E7:E15,"x")</f>
        <v>6</v>
      </c>
      <c r="F16" s="7">
        <f>COUNTIF(F7:F15,"x")</f>
        <v>6</v>
      </c>
      <c r="G16" s="7">
        <f>COUNTIF(G7:G15,"x")</f>
        <v>0</v>
      </c>
      <c r="H16" s="7">
        <f>COUNTIF(H7:H15,"x")</f>
        <v>0</v>
      </c>
      <c r="I16" s="7">
        <f>COUNTIF(I7:I15,"x")</f>
        <v>4</v>
      </c>
    </row>
    <row r="17" spans="4:10" ht="15.75" thickBot="1" x14ac:dyDescent="0.3"/>
    <row r="18" spans="4:10" ht="15.75" thickBot="1" x14ac:dyDescent="0.3">
      <c r="D18" s="160" t="s">
        <v>35</v>
      </c>
      <c r="E18" s="161"/>
      <c r="F18" s="161"/>
      <c r="G18" s="161"/>
      <c r="H18" s="161"/>
      <c r="I18" s="162"/>
    </row>
    <row r="19" spans="4:10" ht="15.75" thickBot="1" x14ac:dyDescent="0.3">
      <c r="D19" s="42"/>
      <c r="E19" s="70" t="s">
        <v>0</v>
      </c>
      <c r="F19" s="71" t="s">
        <v>1</v>
      </c>
      <c r="G19" s="71" t="s">
        <v>2</v>
      </c>
      <c r="H19" s="71" t="s">
        <v>3</v>
      </c>
      <c r="I19" s="72" t="s">
        <v>4</v>
      </c>
    </row>
    <row r="20" spans="4:10" x14ac:dyDescent="0.25">
      <c r="D20" s="44" t="s">
        <v>12</v>
      </c>
      <c r="E20" s="1" t="s">
        <v>16</v>
      </c>
      <c r="F20" s="2" t="s">
        <v>16</v>
      </c>
      <c r="G20" s="73" t="s">
        <v>16</v>
      </c>
      <c r="H20" s="73" t="s">
        <v>16</v>
      </c>
      <c r="I20" s="3" t="s">
        <v>16</v>
      </c>
    </row>
    <row r="21" spans="4:10" x14ac:dyDescent="0.25">
      <c r="D21" s="44" t="s">
        <v>14</v>
      </c>
      <c r="E21" s="1"/>
      <c r="F21" s="2"/>
      <c r="G21" s="73" t="s">
        <v>16</v>
      </c>
      <c r="H21" s="73" t="s">
        <v>16</v>
      </c>
      <c r="I21" s="3" t="s">
        <v>16</v>
      </c>
      <c r="J21" s="57" t="s">
        <v>55</v>
      </c>
    </row>
    <row r="22" spans="4:10" x14ac:dyDescent="0.25">
      <c r="D22" s="44" t="s">
        <v>7</v>
      </c>
      <c r="E22" s="1"/>
      <c r="F22" s="2"/>
      <c r="G22" s="2" t="s">
        <v>16</v>
      </c>
      <c r="H22" s="2" t="s">
        <v>16</v>
      </c>
      <c r="I22" s="3"/>
    </row>
    <row r="23" spans="4:10" ht="15.75" thickBot="1" x14ac:dyDescent="0.3">
      <c r="D23" s="45" t="s">
        <v>52</v>
      </c>
      <c r="E23" s="4"/>
      <c r="F23" s="5"/>
      <c r="G23" s="5" t="s">
        <v>16</v>
      </c>
      <c r="H23" s="5" t="s">
        <v>16</v>
      </c>
      <c r="I23" s="6"/>
    </row>
    <row r="25" spans="4:10" ht="15.75" thickBot="1" x14ac:dyDescent="0.3"/>
    <row r="26" spans="4:10" ht="15.75" thickBot="1" x14ac:dyDescent="0.3">
      <c r="D26" s="46" t="s">
        <v>18</v>
      </c>
      <c r="E26" t="s">
        <v>40</v>
      </c>
    </row>
    <row r="27" spans="4:10" x14ac:dyDescent="0.25">
      <c r="D27" s="43" t="s">
        <v>19</v>
      </c>
      <c r="E27">
        <v>1.5</v>
      </c>
    </row>
    <row r="28" spans="4:10" x14ac:dyDescent="0.25">
      <c r="D28" s="44" t="s">
        <v>38</v>
      </c>
      <c r="E28">
        <v>0.25</v>
      </c>
      <c r="F28" t="s">
        <v>43</v>
      </c>
    </row>
    <row r="29" spans="4:10" x14ac:dyDescent="0.25">
      <c r="D29" s="44" t="s">
        <v>39</v>
      </c>
      <c r="E29">
        <v>0.25</v>
      </c>
      <c r="F29" t="s">
        <v>42</v>
      </c>
    </row>
    <row r="30" spans="4:10" ht="15.75" thickBot="1" x14ac:dyDescent="0.3">
      <c r="D30" s="44" t="s">
        <v>17</v>
      </c>
      <c r="E30">
        <v>0.75</v>
      </c>
    </row>
    <row r="31" spans="4:10" x14ac:dyDescent="0.25">
      <c r="D31" s="48" t="s">
        <v>60</v>
      </c>
    </row>
    <row r="32" spans="4:10" x14ac:dyDescent="0.25">
      <c r="D32" s="49" t="s">
        <v>21</v>
      </c>
      <c r="E32">
        <v>1.5</v>
      </c>
    </row>
    <row r="33" spans="4:5" ht="15.75" thickBot="1" x14ac:dyDescent="0.3">
      <c r="D33" s="50" t="s">
        <v>22</v>
      </c>
      <c r="E33">
        <v>1</v>
      </c>
    </row>
    <row r="34" spans="4:5" x14ac:dyDescent="0.25">
      <c r="D34" s="48" t="s">
        <v>37</v>
      </c>
    </row>
    <row r="35" spans="4:5" x14ac:dyDescent="0.25">
      <c r="D35" s="44" t="s">
        <v>61</v>
      </c>
    </row>
    <row r="36" spans="4:5" x14ac:dyDescent="0.25">
      <c r="D36" s="44" t="s">
        <v>62</v>
      </c>
    </row>
    <row r="37" spans="4:5" x14ac:dyDescent="0.25">
      <c r="D37" s="44" t="s">
        <v>23</v>
      </c>
    </row>
    <row r="38" spans="4:5" x14ac:dyDescent="0.25">
      <c r="D38" s="44" t="s">
        <v>20</v>
      </c>
    </row>
    <row r="39" spans="4:5" ht="15.75" thickBot="1" x14ac:dyDescent="0.3">
      <c r="D39" s="45" t="s">
        <v>36</v>
      </c>
    </row>
  </sheetData>
  <mergeCells count="2">
    <mergeCell ref="D5:I5"/>
    <mergeCell ref="D18:I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AA39"/>
  <sheetViews>
    <sheetView tabSelected="1" workbookViewId="0">
      <selection activeCell="F19" sqref="F19"/>
    </sheetView>
  </sheetViews>
  <sheetFormatPr defaultRowHeight="15" x14ac:dyDescent="0.25"/>
  <cols>
    <col min="4" max="4" width="19.42578125" bestFit="1" customWidth="1"/>
    <col min="5" max="5" width="14.140625" style="7" bestFit="1" customWidth="1"/>
    <col min="6" max="6" width="6" bestFit="1" customWidth="1"/>
    <col min="7" max="7" width="6.140625" bestFit="1" customWidth="1"/>
    <col min="8" max="8" width="5" bestFit="1" customWidth="1"/>
    <col min="9" max="9" width="16.7109375" style="7" customWidth="1"/>
    <col min="11" max="11" width="6.5703125" bestFit="1" customWidth="1"/>
    <col min="13" max="13" width="28.7109375" bestFit="1" customWidth="1"/>
    <col min="14" max="14" width="9.5703125" bestFit="1" customWidth="1"/>
    <col min="15" max="15" width="8.42578125" bestFit="1" customWidth="1"/>
    <col min="16" max="16" width="10.5703125" bestFit="1" customWidth="1"/>
    <col min="17" max="17" width="5.28515625" bestFit="1" customWidth="1"/>
    <col min="18" max="18" width="16.140625" bestFit="1" customWidth="1"/>
    <col min="19" max="19" width="7.28515625" bestFit="1" customWidth="1"/>
    <col min="22" max="22" width="9.7109375" bestFit="1" customWidth="1"/>
    <col min="24" max="24" width="16.140625" bestFit="1" customWidth="1"/>
    <col min="25" max="25" width="3" bestFit="1" customWidth="1"/>
    <col min="27" max="27" width="6.5703125" bestFit="1" customWidth="1"/>
  </cols>
  <sheetData>
    <row r="1" spans="4:27" ht="15.75" thickBot="1" x14ac:dyDescent="0.3"/>
    <row r="2" spans="4:27" ht="15.75" thickBot="1" x14ac:dyDescent="0.3">
      <c r="E2" s="70" t="s">
        <v>41</v>
      </c>
      <c r="F2" s="71" t="s">
        <v>0</v>
      </c>
      <c r="G2" s="71" t="s">
        <v>1</v>
      </c>
      <c r="H2" s="72" t="s">
        <v>4</v>
      </c>
      <c r="I2" s="70" t="s">
        <v>64</v>
      </c>
      <c r="J2" s="72" t="s">
        <v>65</v>
      </c>
      <c r="K2" s="86" t="s">
        <v>45</v>
      </c>
      <c r="L2" s="9"/>
      <c r="M2" s="51" t="s">
        <v>44</v>
      </c>
      <c r="N2" s="122"/>
      <c r="O2" s="122"/>
      <c r="P2" s="122"/>
      <c r="Q2" s="74">
        <f>SUM(Q4:Q13)</f>
        <v>3.3976102471351624</v>
      </c>
      <c r="R2" s="74">
        <f>SUM(R4:R13)</f>
        <v>1</v>
      </c>
      <c r="S2" s="122"/>
      <c r="T2" s="123"/>
      <c r="V2" s="51" t="s">
        <v>64</v>
      </c>
      <c r="W2" s="74">
        <f>SUM(W4:W6)</f>
        <v>1.4658930897712708</v>
      </c>
      <c r="X2" s="74">
        <f>SUM(X4:X6)</f>
        <v>1</v>
      </c>
      <c r="Y2" s="149"/>
      <c r="Z2" s="122"/>
      <c r="AA2" s="123"/>
    </row>
    <row r="3" spans="4:27" ht="15.75" thickBot="1" x14ac:dyDescent="0.3">
      <c r="D3" s="35" t="s">
        <v>31</v>
      </c>
      <c r="E3" s="96">
        <v>0.5</v>
      </c>
      <c r="F3" s="98">
        <f>IF(P4,T4,"")</f>
        <v>0.18010544495805014</v>
      </c>
      <c r="G3" s="98">
        <f>IF(P17,T17,"")</f>
        <v>0.12060635349682847</v>
      </c>
      <c r="H3" s="99" t="str">
        <f>IF(P30,T30,"")</f>
        <v/>
      </c>
      <c r="I3" s="137"/>
      <c r="J3" s="138"/>
      <c r="K3" s="110">
        <f t="shared" ref="K3:K11" si="0">SUM(E3:H3)</f>
        <v>0.80071179845487861</v>
      </c>
      <c r="L3" s="9"/>
      <c r="M3" s="135">
        <v>1</v>
      </c>
      <c r="N3" s="52" t="s">
        <v>28</v>
      </c>
      <c r="O3" s="18" t="s">
        <v>30</v>
      </c>
      <c r="P3" s="18" t="s">
        <v>29</v>
      </c>
      <c r="Q3" s="15" t="s">
        <v>24</v>
      </c>
      <c r="R3" s="16" t="s">
        <v>25</v>
      </c>
      <c r="S3" s="16" t="s">
        <v>26</v>
      </c>
      <c r="T3" s="17" t="s">
        <v>27</v>
      </c>
      <c r="V3" s="135">
        <v>1</v>
      </c>
      <c r="W3" s="15" t="s">
        <v>24</v>
      </c>
      <c r="X3" s="16" t="s">
        <v>25</v>
      </c>
      <c r="Y3" s="16"/>
      <c r="Z3" s="16" t="s">
        <v>26</v>
      </c>
      <c r="AA3" s="17" t="s">
        <v>27</v>
      </c>
    </row>
    <row r="4" spans="4:27" x14ac:dyDescent="0.25">
      <c r="D4" s="10" t="s">
        <v>32</v>
      </c>
      <c r="E4" s="97">
        <v>0.6</v>
      </c>
      <c r="F4" s="100">
        <f t="shared" ref="F4:F11" si="1">IF(P5,T5,"")</f>
        <v>0.14173816696727076</v>
      </c>
      <c r="G4" s="100" t="str">
        <f t="shared" ref="G4:G11" si="2">IF(P18,T18,"")</f>
        <v/>
      </c>
      <c r="H4" s="101">
        <f t="shared" ref="H4:H11" si="3">IF(P31,T31,"")</f>
        <v>0.14096330265511514</v>
      </c>
      <c r="I4" s="139"/>
      <c r="J4" s="140"/>
      <c r="K4" s="111">
        <f t="shared" si="0"/>
        <v>0.88270146962238583</v>
      </c>
      <c r="L4" s="9"/>
      <c r="M4" s="78" t="s">
        <v>31</v>
      </c>
      <c r="N4" s="83">
        <v>1</v>
      </c>
      <c r="O4" s="53">
        <v>0.5268741250038147</v>
      </c>
      <c r="P4" s="83">
        <f>IF(O4&gt;0.5,1,0)</f>
        <v>1</v>
      </c>
      <c r="Q4" s="53">
        <v>0.81590414047241211</v>
      </c>
      <c r="R4" s="53">
        <f t="shared" ref="R4:R13" si="4">$M$3/$Q$2 * Q4</f>
        <v>0.24014059327740017</v>
      </c>
      <c r="S4" s="53">
        <v>0.75</v>
      </c>
      <c r="T4" s="84">
        <f>S4*R4</f>
        <v>0.18010544495805014</v>
      </c>
      <c r="V4" s="78" t="s">
        <v>14</v>
      </c>
      <c r="W4" s="53">
        <v>0.21814298629760742</v>
      </c>
      <c r="X4" s="53">
        <f>$V$3/$W$2 * W4</f>
        <v>0.14881234369666424</v>
      </c>
      <c r="Y4" s="83">
        <v>20</v>
      </c>
      <c r="Z4" s="150">
        <v>-19</v>
      </c>
      <c r="AA4" s="152">
        <f>Y4+(Z4*X4)</f>
        <v>17.172565469763381</v>
      </c>
    </row>
    <row r="5" spans="4:27" x14ac:dyDescent="0.25">
      <c r="D5" s="1" t="s">
        <v>5</v>
      </c>
      <c r="E5" s="88">
        <v>20</v>
      </c>
      <c r="F5" s="159">
        <f t="shared" si="1"/>
        <v>3.7263056857512469</v>
      </c>
      <c r="G5" s="117" t="str">
        <f t="shared" si="2"/>
        <v/>
      </c>
      <c r="H5" s="118" t="str">
        <f t="shared" si="3"/>
        <v/>
      </c>
      <c r="I5" s="139"/>
      <c r="J5" s="140"/>
      <c r="K5" s="157">
        <f t="shared" si="0"/>
        <v>23.726305685751246</v>
      </c>
      <c r="L5" s="9" t="s">
        <v>92</v>
      </c>
      <c r="M5" s="79" t="s">
        <v>32</v>
      </c>
      <c r="N5" s="59">
        <v>1</v>
      </c>
      <c r="O5" s="54">
        <v>0.69954651594161987</v>
      </c>
      <c r="P5" s="59">
        <f t="shared" ref="P5:P8" si="5">IF(O5&gt;0.5,1,0)</f>
        <v>1</v>
      </c>
      <c r="Q5" s="54">
        <v>0.64209473133087158</v>
      </c>
      <c r="R5" s="54">
        <f t="shared" si="4"/>
        <v>0.18898422262302766</v>
      </c>
      <c r="S5" s="54">
        <v>0.75</v>
      </c>
      <c r="T5" s="58">
        <f>S5*R5</f>
        <v>0.14173816696727076</v>
      </c>
      <c r="V5" s="79" t="s">
        <v>7</v>
      </c>
      <c r="W5" s="54">
        <v>0.46899574995040894</v>
      </c>
      <c r="X5" s="54">
        <f>$V$3/$W$2 * W5</f>
        <v>0.31993857752858923</v>
      </c>
      <c r="Y5" s="54"/>
      <c r="Z5" s="151">
        <v>50</v>
      </c>
      <c r="AA5" s="58">
        <f>Z5*X5</f>
        <v>15.996928876429461</v>
      </c>
    </row>
    <row r="6" spans="4:27" ht="15.75" thickBot="1" x14ac:dyDescent="0.3">
      <c r="D6" s="10" t="s">
        <v>6</v>
      </c>
      <c r="E6" s="87">
        <v>1</v>
      </c>
      <c r="F6" s="102" t="str">
        <f t="shared" si="1"/>
        <v/>
      </c>
      <c r="G6" s="102" t="str">
        <f t="shared" si="2"/>
        <v/>
      </c>
      <c r="H6" s="103" t="str">
        <f t="shared" si="3"/>
        <v/>
      </c>
      <c r="I6" s="139"/>
      <c r="J6" s="140"/>
      <c r="K6" s="62">
        <f t="shared" si="0"/>
        <v>1</v>
      </c>
      <c r="L6" s="9" t="s">
        <v>59</v>
      </c>
      <c r="M6" s="79" t="s">
        <v>5</v>
      </c>
      <c r="N6" s="59">
        <v>1</v>
      </c>
      <c r="O6" s="54">
        <v>0.73582154512405396</v>
      </c>
      <c r="P6" s="59">
        <f t="shared" si="5"/>
        <v>1</v>
      </c>
      <c r="Q6" s="54">
        <v>0.42201781272888184</v>
      </c>
      <c r="R6" s="54">
        <f t="shared" si="4"/>
        <v>0.12421018952504156</v>
      </c>
      <c r="S6" s="54">
        <v>30</v>
      </c>
      <c r="T6" s="58">
        <f>S6*R6</f>
        <v>3.7263056857512469</v>
      </c>
      <c r="V6" s="132" t="s">
        <v>12</v>
      </c>
      <c r="W6" s="114">
        <v>0.77875435352325439</v>
      </c>
      <c r="X6" s="55">
        <f>$V$3/$W$2 * W6</f>
        <v>0.53124907877474647</v>
      </c>
      <c r="Y6" s="75"/>
      <c r="Z6" s="33">
        <v>200</v>
      </c>
      <c r="AA6" s="134">
        <f>Z6*(X6)</f>
        <v>106.2498157549493</v>
      </c>
    </row>
    <row r="7" spans="4:27" ht="15.75" thickBot="1" x14ac:dyDescent="0.3">
      <c r="D7" s="64" t="s">
        <v>8</v>
      </c>
      <c r="E7" s="89">
        <v>0</v>
      </c>
      <c r="F7" s="116" t="str">
        <f t="shared" si="1"/>
        <v/>
      </c>
      <c r="G7" s="116">
        <f t="shared" si="2"/>
        <v>1.2691157150463406</v>
      </c>
      <c r="H7" s="119" t="str">
        <f t="shared" si="3"/>
        <v/>
      </c>
      <c r="I7" s="139"/>
      <c r="J7" s="140"/>
      <c r="K7" s="112">
        <f t="shared" si="0"/>
        <v>1.2691157150463406</v>
      </c>
      <c r="L7" s="9"/>
      <c r="M7" s="80" t="s">
        <v>6</v>
      </c>
      <c r="N7" s="76">
        <v>1</v>
      </c>
      <c r="O7" s="55">
        <v>0.16016668081283569</v>
      </c>
      <c r="P7" s="76">
        <f t="shared" si="5"/>
        <v>0</v>
      </c>
      <c r="Q7" s="55">
        <v>0</v>
      </c>
      <c r="R7" s="55">
        <f t="shared" si="4"/>
        <v>0</v>
      </c>
      <c r="S7" s="55">
        <v>-1</v>
      </c>
      <c r="T7" s="77">
        <f t="shared" ref="T7:T8" si="6">S7*R7</f>
        <v>0</v>
      </c>
    </row>
    <row r="8" spans="4:27" ht="15.75" thickBot="1" x14ac:dyDescent="0.3">
      <c r="D8" s="8" t="s">
        <v>49</v>
      </c>
      <c r="E8" s="90">
        <v>0</v>
      </c>
      <c r="F8" s="120" t="str">
        <f t="shared" si="1"/>
        <v/>
      </c>
      <c r="G8" s="120">
        <f t="shared" si="2"/>
        <v>3.0510386091459187</v>
      </c>
      <c r="H8" s="121" t="str">
        <f t="shared" si="3"/>
        <v/>
      </c>
      <c r="I8" s="139"/>
      <c r="J8" s="140"/>
      <c r="K8" s="124">
        <f t="shared" si="0"/>
        <v>3.0510386091459187</v>
      </c>
      <c r="L8" s="9"/>
      <c r="M8" s="81" t="s">
        <v>8</v>
      </c>
      <c r="N8" s="60">
        <v>0</v>
      </c>
      <c r="O8" s="63">
        <v>0</v>
      </c>
      <c r="P8" s="60">
        <f t="shared" si="5"/>
        <v>0</v>
      </c>
      <c r="Q8" s="63">
        <v>0</v>
      </c>
      <c r="R8" s="63">
        <f t="shared" si="4"/>
        <v>0</v>
      </c>
      <c r="S8" s="63">
        <v>10</v>
      </c>
      <c r="T8" s="82">
        <f t="shared" si="6"/>
        <v>0</v>
      </c>
    </row>
    <row r="9" spans="4:27" ht="15.75" thickBot="1" x14ac:dyDescent="0.3">
      <c r="D9" s="11" t="s">
        <v>50</v>
      </c>
      <c r="E9" s="89">
        <v>1</v>
      </c>
      <c r="F9" s="109" t="str">
        <f>IF(P10,T10,"")</f>
        <v/>
      </c>
      <c r="G9" s="109">
        <f t="shared" si="2"/>
        <v>2.8649797232505176E-2</v>
      </c>
      <c r="H9" s="115" t="str">
        <f t="shared" si="3"/>
        <v/>
      </c>
      <c r="I9" s="139"/>
      <c r="J9" s="140"/>
      <c r="K9" s="113">
        <f t="shared" si="0"/>
        <v>1.0286497972325053</v>
      </c>
      <c r="L9" s="9"/>
      <c r="M9" s="80" t="s">
        <v>9</v>
      </c>
      <c r="N9" s="76">
        <v>0</v>
      </c>
      <c r="O9" s="55">
        <v>0</v>
      </c>
      <c r="P9" s="76">
        <f>IF(O9&gt;0.5,1,0)</f>
        <v>0</v>
      </c>
      <c r="Q9" s="55">
        <v>0</v>
      </c>
      <c r="R9" s="55">
        <f t="shared" si="4"/>
        <v>0</v>
      </c>
      <c r="S9" s="55">
        <v>20</v>
      </c>
      <c r="T9" s="77">
        <f>S9*R9</f>
        <v>0</v>
      </c>
    </row>
    <row r="10" spans="4:27" ht="15.75" thickBot="1" x14ac:dyDescent="0.3">
      <c r="D10" s="12" t="s">
        <v>51</v>
      </c>
      <c r="E10" s="91">
        <v>1</v>
      </c>
      <c r="F10" s="104">
        <f t="shared" si="1"/>
        <v>0.24419501613974742</v>
      </c>
      <c r="G10" s="104">
        <f t="shared" si="2"/>
        <v>9.5946452368965165E-2</v>
      </c>
      <c r="H10" s="108">
        <f t="shared" si="3"/>
        <v>0.47897953933603882</v>
      </c>
      <c r="I10" s="139"/>
      <c r="J10" s="140"/>
      <c r="K10" s="114">
        <f t="shared" si="0"/>
        <v>1.8191210078447515</v>
      </c>
      <c r="L10" s="9"/>
      <c r="M10" s="81" t="s">
        <v>63</v>
      </c>
      <c r="N10" s="60">
        <v>1</v>
      </c>
      <c r="O10" s="63">
        <v>0.27361619472503662</v>
      </c>
      <c r="P10" s="60">
        <f>IF(O10&gt;0.5,1,0)</f>
        <v>0</v>
      </c>
      <c r="Q10" s="63">
        <v>0</v>
      </c>
      <c r="R10" s="63">
        <f t="shared" si="4"/>
        <v>0</v>
      </c>
      <c r="S10" s="63">
        <v>1</v>
      </c>
      <c r="T10" s="82">
        <f>S10*R10</f>
        <v>0</v>
      </c>
    </row>
    <row r="11" spans="4:27" ht="15.75" thickBot="1" x14ac:dyDescent="0.3">
      <c r="D11" s="14" t="s">
        <v>15</v>
      </c>
      <c r="E11" s="125">
        <v>1</v>
      </c>
      <c r="F11" s="126" t="str">
        <f t="shared" si="1"/>
        <v/>
      </c>
      <c r="G11" s="126">
        <f t="shared" si="2"/>
        <v>3.766812020606837</v>
      </c>
      <c r="H11" s="127">
        <f t="shared" si="3"/>
        <v>3.6214413588476653</v>
      </c>
      <c r="I11" s="141"/>
      <c r="J11" s="142"/>
      <c r="K11" s="128">
        <f t="shared" si="0"/>
        <v>8.3882533794545022</v>
      </c>
      <c r="L11" s="9" t="s">
        <v>58</v>
      </c>
      <c r="M11" s="79" t="s">
        <v>51</v>
      </c>
      <c r="N11" s="59">
        <v>1</v>
      </c>
      <c r="O11" s="54">
        <v>0.60537153482437134</v>
      </c>
      <c r="P11" s="59">
        <f>IF(O11&gt;0.5,1,0)</f>
        <v>1</v>
      </c>
      <c r="Q11" s="54">
        <v>0.82967948913574219</v>
      </c>
      <c r="R11" s="54">
        <f t="shared" si="4"/>
        <v>0.24419501613974742</v>
      </c>
      <c r="S11" s="54">
        <v>1</v>
      </c>
      <c r="T11" s="58">
        <f>S11*R11</f>
        <v>0.24419501613974742</v>
      </c>
    </row>
    <row r="12" spans="4:27" ht="15.75" thickBot="1" x14ac:dyDescent="0.3">
      <c r="K12" s="7"/>
      <c r="L12" s="9"/>
      <c r="M12" s="80" t="s">
        <v>15</v>
      </c>
      <c r="N12" s="76">
        <v>0</v>
      </c>
      <c r="O12" s="55">
        <v>0</v>
      </c>
      <c r="P12" s="76">
        <f>IF(O12&gt;0.5,1,0)</f>
        <v>0</v>
      </c>
      <c r="Q12" s="55">
        <v>0</v>
      </c>
      <c r="R12" s="55">
        <f t="shared" si="4"/>
        <v>0</v>
      </c>
      <c r="S12" s="55">
        <v>5</v>
      </c>
      <c r="T12" s="77">
        <f>S12*(1-R12)</f>
        <v>5</v>
      </c>
    </row>
    <row r="13" spans="4:27" ht="15.75" thickBot="1" x14ac:dyDescent="0.3">
      <c r="M13" s="132" t="s">
        <v>12</v>
      </c>
      <c r="N13" s="133">
        <v>1</v>
      </c>
      <c r="O13" s="5"/>
      <c r="P13" s="33">
        <v>1</v>
      </c>
      <c r="Q13" s="114">
        <v>0.68791407346725464</v>
      </c>
      <c r="R13" s="114">
        <f t="shared" si="4"/>
        <v>0.20246997843478318</v>
      </c>
      <c r="S13" s="33">
        <v>100</v>
      </c>
      <c r="T13" s="134">
        <f>S13*(R13)</f>
        <v>20.246997843478319</v>
      </c>
    </row>
    <row r="14" spans="4:27" ht="30.75" thickBot="1" x14ac:dyDescent="0.3">
      <c r="D14" s="9"/>
      <c r="I14" s="148" t="str">
        <f>WeaponRoller!I5</f>
        <v>Circle (Aoe) Melee Energy</v>
      </c>
    </row>
    <row r="15" spans="4:27" ht="15.75" thickBot="1" x14ac:dyDescent="0.3">
      <c r="D15" s="13" t="s">
        <v>12</v>
      </c>
      <c r="E15" s="130">
        <v>50</v>
      </c>
      <c r="F15" s="136">
        <f>T13</f>
        <v>20.246997843478319</v>
      </c>
      <c r="G15" s="136">
        <f>T26</f>
        <v>37.698836245772483</v>
      </c>
      <c r="H15" s="136">
        <f>T39</f>
        <v>5.7357662226673973</v>
      </c>
      <c r="I15" s="156">
        <f>AA6</f>
        <v>106.2498157549493</v>
      </c>
      <c r="J15" s="131"/>
      <c r="K15" s="146"/>
      <c r="M15" s="51" t="s">
        <v>56</v>
      </c>
      <c r="N15" s="122"/>
      <c r="O15" s="122"/>
      <c r="P15" s="122"/>
      <c r="Q15" s="74">
        <f>SUM(Q17:Q26)</f>
        <v>3.4904260993003846</v>
      </c>
      <c r="R15" s="74">
        <f>SUM(R17:R26)</f>
        <v>0.99999999999999989</v>
      </c>
      <c r="S15" s="122"/>
      <c r="T15" s="123"/>
    </row>
    <row r="16" spans="4:27" ht="15.75" thickBot="1" x14ac:dyDescent="0.3">
      <c r="D16" s="65" t="s">
        <v>46</v>
      </c>
      <c r="E16" s="143"/>
      <c r="F16" s="144"/>
      <c r="G16" s="144"/>
      <c r="H16" s="85"/>
      <c r="I16" s="154">
        <f>AA4</f>
        <v>17.172565469763381</v>
      </c>
      <c r="J16" s="129"/>
      <c r="K16" s="145"/>
      <c r="M16" s="135">
        <v>1</v>
      </c>
      <c r="N16" s="52" t="s">
        <v>28</v>
      </c>
      <c r="O16" s="18" t="s">
        <v>30</v>
      </c>
      <c r="P16" s="18" t="s">
        <v>29</v>
      </c>
      <c r="Q16" s="15" t="s">
        <v>24</v>
      </c>
      <c r="R16" s="16" t="s">
        <v>25</v>
      </c>
      <c r="S16" s="16" t="s">
        <v>26</v>
      </c>
      <c r="T16" s="17" t="s">
        <v>27</v>
      </c>
    </row>
    <row r="17" spans="4:20" ht="15.75" thickBot="1" x14ac:dyDescent="0.3">
      <c r="D17" s="153" t="s">
        <v>7</v>
      </c>
      <c r="E17" s="92"/>
      <c r="F17" s="93"/>
      <c r="G17" s="93"/>
      <c r="H17" s="93"/>
      <c r="I17" s="155">
        <f>AA5*WeaponRoller!J5</f>
        <v>7.9184797938325833</v>
      </c>
      <c r="J17" s="93"/>
      <c r="K17" s="94"/>
      <c r="M17" s="78" t="s">
        <v>31</v>
      </c>
      <c r="N17" s="83">
        <v>1</v>
      </c>
      <c r="O17" s="53">
        <v>0.61760485172271729</v>
      </c>
      <c r="P17" s="83">
        <f>IF(O17&gt;0.5,1,0)</f>
        <v>1</v>
      </c>
      <c r="Q17" s="53">
        <v>0.56129008531570435</v>
      </c>
      <c r="R17" s="53">
        <f t="shared" ref="R17:R25" si="7">$M$16/$Q$15 * Q17</f>
        <v>0.16080847132910461</v>
      </c>
      <c r="S17" s="53">
        <v>0.75</v>
      </c>
      <c r="T17" s="84">
        <f>S17*R17</f>
        <v>0.12060635349682847</v>
      </c>
    </row>
    <row r="18" spans="4:20" x14ac:dyDescent="0.25">
      <c r="I18" s="158">
        <f>LN(I17^2+1)*5</f>
        <v>20.771105089421678</v>
      </c>
      <c r="M18" s="79" t="s">
        <v>32</v>
      </c>
      <c r="N18" s="59">
        <v>0</v>
      </c>
      <c r="O18" s="54">
        <v>0</v>
      </c>
      <c r="P18" s="59">
        <f t="shared" ref="P18:P21" si="8">IF(O18&gt;0.5,1,0)</f>
        <v>0</v>
      </c>
      <c r="Q18" s="54">
        <v>0</v>
      </c>
      <c r="R18" s="54">
        <f t="shared" si="7"/>
        <v>0</v>
      </c>
      <c r="S18" s="54">
        <v>0.75</v>
      </c>
      <c r="T18" s="58">
        <f>S18*R18</f>
        <v>0</v>
      </c>
    </row>
    <row r="19" spans="4:20" x14ac:dyDescent="0.25">
      <c r="M19" s="79" t="s">
        <v>5</v>
      </c>
      <c r="N19" s="59">
        <v>0</v>
      </c>
      <c r="O19" s="54">
        <v>0</v>
      </c>
      <c r="P19" s="59">
        <f t="shared" si="8"/>
        <v>0</v>
      </c>
      <c r="Q19" s="54">
        <v>0</v>
      </c>
      <c r="R19" s="54">
        <f t="shared" si="7"/>
        <v>0</v>
      </c>
      <c r="S19" s="54">
        <v>30</v>
      </c>
      <c r="T19" s="58">
        <f>S19*R19</f>
        <v>0</v>
      </c>
    </row>
    <row r="20" spans="4:20" ht="15.75" thickBot="1" x14ac:dyDescent="0.3">
      <c r="M20" s="80" t="s">
        <v>6</v>
      </c>
      <c r="N20" s="76">
        <v>0</v>
      </c>
      <c r="O20" s="55">
        <v>0</v>
      </c>
      <c r="P20" s="76">
        <f t="shared" si="8"/>
        <v>0</v>
      </c>
      <c r="Q20" s="55">
        <v>0</v>
      </c>
      <c r="R20" s="55">
        <f t="shared" si="7"/>
        <v>0</v>
      </c>
      <c r="S20" s="55">
        <v>-1</v>
      </c>
      <c r="T20" s="77">
        <f t="shared" ref="T20:T21" si="9">S20*R20</f>
        <v>0</v>
      </c>
    </row>
    <row r="21" spans="4:20" x14ac:dyDescent="0.25">
      <c r="M21" s="81" t="s">
        <v>8</v>
      </c>
      <c r="N21" s="60">
        <v>1</v>
      </c>
      <c r="O21" s="63">
        <v>0.58928894996643066</v>
      </c>
      <c r="P21" s="60">
        <f t="shared" si="8"/>
        <v>1</v>
      </c>
      <c r="Q21" s="63">
        <v>0.44297546148300171</v>
      </c>
      <c r="R21" s="63">
        <f t="shared" si="7"/>
        <v>0.12691157150463406</v>
      </c>
      <c r="S21" s="63">
        <v>10</v>
      </c>
      <c r="T21" s="82">
        <f t="shared" si="9"/>
        <v>1.2691157150463406</v>
      </c>
    </row>
    <row r="22" spans="4:20" ht="15.75" thickBot="1" x14ac:dyDescent="0.3">
      <c r="M22" s="80" t="s">
        <v>9</v>
      </c>
      <c r="N22" s="76">
        <v>1</v>
      </c>
      <c r="O22" s="55">
        <v>0.89822757244110107</v>
      </c>
      <c r="P22" s="76">
        <f>IF(O22&gt;0.5,1,0)</f>
        <v>1</v>
      </c>
      <c r="Q22" s="55">
        <v>0.53247123956680298</v>
      </c>
      <c r="R22" s="55">
        <f t="shared" si="7"/>
        <v>0.15255193045729593</v>
      </c>
      <c r="S22" s="55">
        <v>20</v>
      </c>
      <c r="T22" s="77">
        <f>S22*R22</f>
        <v>3.0510386091459187</v>
      </c>
    </row>
    <row r="23" spans="4:20" x14ac:dyDescent="0.25">
      <c r="M23" s="81" t="s">
        <v>63</v>
      </c>
      <c r="N23" s="60">
        <v>1</v>
      </c>
      <c r="O23" s="63">
        <v>0.75437402725219727</v>
      </c>
      <c r="P23" s="60">
        <f>IF(O23&gt;0.5,1,0)</f>
        <v>1</v>
      </c>
      <c r="Q23" s="63">
        <v>0.1</v>
      </c>
      <c r="R23" s="63">
        <f t="shared" si="7"/>
        <v>2.8649797232505176E-2</v>
      </c>
      <c r="S23" s="63">
        <v>1</v>
      </c>
      <c r="T23" s="82">
        <f>S23*R23</f>
        <v>2.8649797232505176E-2</v>
      </c>
    </row>
    <row r="24" spans="4:20" x14ac:dyDescent="0.25">
      <c r="M24" s="79" t="s">
        <v>13</v>
      </c>
      <c r="N24" s="59">
        <v>1</v>
      </c>
      <c r="O24" s="54">
        <v>0.68219578266143799</v>
      </c>
      <c r="P24" s="59">
        <f>IF(O24&gt;0.5,1,0)</f>
        <v>1</v>
      </c>
      <c r="Q24" s="54">
        <v>0.33489400148391724</v>
      </c>
      <c r="R24" s="54">
        <f t="shared" si="7"/>
        <v>9.5946452368965165E-2</v>
      </c>
      <c r="S24" s="54">
        <v>1</v>
      </c>
      <c r="T24" s="58">
        <f>S24*R24</f>
        <v>9.5946452368965165E-2</v>
      </c>
    </row>
    <row r="25" spans="4:20" ht="15.75" thickBot="1" x14ac:dyDescent="0.3">
      <c r="M25" s="80" t="s">
        <v>15</v>
      </c>
      <c r="N25" s="76">
        <v>1</v>
      </c>
      <c r="O25" s="55">
        <v>0.70469546318054199</v>
      </c>
      <c r="P25" s="76">
        <f>IF(O25&gt;0.5,1,0)</f>
        <v>1</v>
      </c>
      <c r="Q25" s="55">
        <v>0.86087030172348022</v>
      </c>
      <c r="R25" s="55">
        <f t="shared" si="7"/>
        <v>0.2466375958786326</v>
      </c>
      <c r="S25" s="55">
        <v>5</v>
      </c>
      <c r="T25" s="77">
        <f>S25*(1-R25)</f>
        <v>3.766812020606837</v>
      </c>
    </row>
    <row r="26" spans="4:20" ht="15.75" thickBot="1" x14ac:dyDescent="0.3">
      <c r="M26" s="132" t="s">
        <v>12</v>
      </c>
      <c r="N26" s="133">
        <v>1</v>
      </c>
      <c r="O26" s="5"/>
      <c r="P26" s="33">
        <v>1</v>
      </c>
      <c r="Q26" s="114">
        <v>0.65792500972747803</v>
      </c>
      <c r="R26" s="114">
        <f>$M$3/$Q$15 * Q26</f>
        <v>0.18849418122886241</v>
      </c>
      <c r="S26" s="33">
        <v>200</v>
      </c>
      <c r="T26" s="134">
        <f>S26*(R26)</f>
        <v>37.698836245772483</v>
      </c>
    </row>
    <row r="27" spans="4:20" ht="15.75" thickBot="1" x14ac:dyDescent="0.3"/>
    <row r="28" spans="4:20" ht="15.75" thickBot="1" x14ac:dyDescent="0.3">
      <c r="M28" s="51" t="s">
        <v>57</v>
      </c>
      <c r="N28" s="122"/>
      <c r="O28" s="122"/>
      <c r="P28" s="122"/>
      <c r="Q28" s="74">
        <f>SUM(Q30:Q39)</f>
        <v>2.0820223093032837</v>
      </c>
      <c r="R28" s="74">
        <f>SUM(R30:R39)</f>
        <v>0.99999999999999989</v>
      </c>
      <c r="S28" s="122"/>
      <c r="T28" s="123"/>
    </row>
    <row r="29" spans="4:20" ht="15.75" thickBot="1" x14ac:dyDescent="0.3">
      <c r="M29" s="135">
        <v>1</v>
      </c>
      <c r="N29" s="52" t="s">
        <v>28</v>
      </c>
      <c r="O29" s="18" t="s">
        <v>30</v>
      </c>
      <c r="P29" s="18" t="s">
        <v>29</v>
      </c>
      <c r="Q29" s="15" t="s">
        <v>24</v>
      </c>
      <c r="R29" s="16" t="s">
        <v>25</v>
      </c>
      <c r="S29" s="16" t="s">
        <v>26</v>
      </c>
      <c r="T29" s="17" t="s">
        <v>27</v>
      </c>
    </row>
    <row r="30" spans="4:20" x14ac:dyDescent="0.25">
      <c r="M30" s="78" t="s">
        <v>31</v>
      </c>
      <c r="N30" s="106">
        <v>0</v>
      </c>
      <c r="O30" s="107">
        <v>0</v>
      </c>
      <c r="P30" s="106">
        <f>IF(O30&gt;0.5,1,0)</f>
        <v>0</v>
      </c>
      <c r="Q30" s="107">
        <v>0</v>
      </c>
      <c r="R30" s="107">
        <f t="shared" ref="R30:R38" si="10">$M$29/$Q$28 * Q30</f>
        <v>0</v>
      </c>
      <c r="S30" s="53">
        <v>0.75</v>
      </c>
      <c r="T30" s="105">
        <f>S30*R30</f>
        <v>0</v>
      </c>
    </row>
    <row r="31" spans="4:20" x14ac:dyDescent="0.25">
      <c r="M31" s="79" t="s">
        <v>32</v>
      </c>
      <c r="N31" s="59">
        <v>1</v>
      </c>
      <c r="O31" s="54">
        <v>0.82761293649673462</v>
      </c>
      <c r="P31" s="59">
        <f t="shared" ref="P31:P34" si="11">IF(O31&gt;0.5,1,0)</f>
        <v>1</v>
      </c>
      <c r="Q31" s="54">
        <v>0.39131832122802734</v>
      </c>
      <c r="R31" s="54">
        <f t="shared" si="10"/>
        <v>0.18795107020682017</v>
      </c>
      <c r="S31" s="54">
        <v>0.75</v>
      </c>
      <c r="T31" s="61">
        <f>S31*R31</f>
        <v>0.14096330265511514</v>
      </c>
    </row>
    <row r="32" spans="4:20" x14ac:dyDescent="0.25">
      <c r="M32" s="79" t="s">
        <v>5</v>
      </c>
      <c r="N32" s="59">
        <v>0</v>
      </c>
      <c r="O32" s="54">
        <v>0</v>
      </c>
      <c r="P32" s="59">
        <f t="shared" si="11"/>
        <v>0</v>
      </c>
      <c r="Q32" s="54">
        <v>0</v>
      </c>
      <c r="R32" s="54">
        <f t="shared" si="10"/>
        <v>0</v>
      </c>
      <c r="S32" s="54">
        <v>30</v>
      </c>
      <c r="T32" s="58">
        <f>S32*(1-R32)</f>
        <v>30</v>
      </c>
    </row>
    <row r="33" spans="13:20" ht="15.75" thickBot="1" x14ac:dyDescent="0.3">
      <c r="M33" s="80" t="s">
        <v>6</v>
      </c>
      <c r="N33" s="76">
        <v>0</v>
      </c>
      <c r="O33" s="55">
        <v>0</v>
      </c>
      <c r="P33" s="76">
        <f t="shared" si="11"/>
        <v>0</v>
      </c>
      <c r="Q33" s="55">
        <v>0</v>
      </c>
      <c r="R33" s="55">
        <f t="shared" si="10"/>
        <v>0</v>
      </c>
      <c r="S33" s="55">
        <v>-1</v>
      </c>
      <c r="T33" s="77">
        <f t="shared" ref="T33:T34" si="12">S33*R33</f>
        <v>0</v>
      </c>
    </row>
    <row r="34" spans="13:20" x14ac:dyDescent="0.25">
      <c r="M34" s="81" t="s">
        <v>8</v>
      </c>
      <c r="N34" s="60">
        <v>0</v>
      </c>
      <c r="O34" s="63">
        <v>0</v>
      </c>
      <c r="P34" s="60">
        <f t="shared" si="11"/>
        <v>0</v>
      </c>
      <c r="Q34" s="63">
        <v>0</v>
      </c>
      <c r="R34" s="63">
        <f t="shared" si="10"/>
        <v>0</v>
      </c>
      <c r="S34" s="63">
        <v>10</v>
      </c>
      <c r="T34" s="82">
        <f t="shared" si="12"/>
        <v>0</v>
      </c>
    </row>
    <row r="35" spans="13:20" ht="15.75" thickBot="1" x14ac:dyDescent="0.3">
      <c r="M35" s="80" t="s">
        <v>9</v>
      </c>
      <c r="N35" s="76">
        <v>0</v>
      </c>
      <c r="O35" s="55">
        <v>0</v>
      </c>
      <c r="P35" s="76">
        <f>IF(O35&gt;0.5,1,0)</f>
        <v>0</v>
      </c>
      <c r="Q35" s="55">
        <v>0</v>
      </c>
      <c r="R35" s="55">
        <f t="shared" si="10"/>
        <v>0</v>
      </c>
      <c r="S35" s="55">
        <v>20</v>
      </c>
      <c r="T35" s="77">
        <f>S35*R35</f>
        <v>0</v>
      </c>
    </row>
    <row r="36" spans="13:20" x14ac:dyDescent="0.25">
      <c r="M36" s="81" t="s">
        <v>33</v>
      </c>
      <c r="N36" s="60">
        <v>1</v>
      </c>
      <c r="O36" s="63">
        <v>0.40199965238571167</v>
      </c>
      <c r="P36" s="60">
        <f>IF(O36&gt;0.5,1,0)</f>
        <v>0</v>
      </c>
      <c r="Q36" s="63">
        <v>0</v>
      </c>
      <c r="R36" s="63">
        <f t="shared" si="10"/>
        <v>0</v>
      </c>
      <c r="S36" s="63">
        <v>1</v>
      </c>
      <c r="T36" s="82">
        <f>S36*R36</f>
        <v>0</v>
      </c>
    </row>
    <row r="37" spans="13:20" x14ac:dyDescent="0.25">
      <c r="M37" s="79" t="s">
        <v>13</v>
      </c>
      <c r="N37" s="59">
        <v>1</v>
      </c>
      <c r="O37" s="54">
        <v>0.90111410617828369</v>
      </c>
      <c r="P37" s="59">
        <f>IF(O37&gt;0.5,1,0)</f>
        <v>1</v>
      </c>
      <c r="Q37" s="54">
        <v>0.99724608659744263</v>
      </c>
      <c r="R37" s="54">
        <f t="shared" si="10"/>
        <v>0.47897953933603882</v>
      </c>
      <c r="S37" s="54">
        <v>1</v>
      </c>
      <c r="T37" s="58">
        <f>S37*R37</f>
        <v>0.47897953933603882</v>
      </c>
    </row>
    <row r="38" spans="13:20" ht="15.75" thickBot="1" x14ac:dyDescent="0.3">
      <c r="M38" s="80" t="s">
        <v>15</v>
      </c>
      <c r="N38" s="76">
        <v>1</v>
      </c>
      <c r="O38" s="55">
        <v>0.70885014533996582</v>
      </c>
      <c r="P38" s="76">
        <f>IF(O38&gt;0.5,1,0)</f>
        <v>1</v>
      </c>
      <c r="Q38" s="55">
        <v>0.57403796911239624</v>
      </c>
      <c r="R38" s="55">
        <f t="shared" si="10"/>
        <v>0.27571172823046697</v>
      </c>
      <c r="S38" s="55">
        <v>5</v>
      </c>
      <c r="T38" s="77">
        <f>S38*(1-R38)</f>
        <v>3.6214413588476653</v>
      </c>
    </row>
    <row r="39" spans="13:20" ht="15.75" thickBot="1" x14ac:dyDescent="0.3">
      <c r="M39" s="132" t="s">
        <v>12</v>
      </c>
      <c r="N39" s="133">
        <v>1</v>
      </c>
      <c r="O39" s="5"/>
      <c r="P39" s="33">
        <v>1</v>
      </c>
      <c r="Q39" s="114">
        <v>0.11941993236541748</v>
      </c>
      <c r="R39" s="114">
        <f>$M$3/$Q$28 * Q39</f>
        <v>5.7357662226673975E-2</v>
      </c>
      <c r="S39" s="33">
        <v>100</v>
      </c>
      <c r="T39" s="134">
        <f>S39*(R39)</f>
        <v>5.7357662226673973</v>
      </c>
    </row>
  </sheetData>
  <conditionalFormatting sqref="T13 N13 Q13:R13 N4:T12">
    <cfRule type="expression" dxfId="28" priority="27">
      <formula>$N4=0</formula>
    </cfRule>
  </conditionalFormatting>
  <conditionalFormatting sqref="T13 Q13:R13 Q4:T12">
    <cfRule type="expression" dxfId="27" priority="28">
      <formula>$P4=0</formula>
    </cfRule>
  </conditionalFormatting>
  <conditionalFormatting sqref="N17:R25 T17:T25">
    <cfRule type="expression" dxfId="26" priority="25">
      <formula>$N17=0</formula>
    </cfRule>
  </conditionalFormatting>
  <conditionalFormatting sqref="Q17:R25 T17:T25">
    <cfRule type="expression" dxfId="25" priority="26">
      <formula>$P17=0</formula>
    </cfRule>
  </conditionalFormatting>
  <conditionalFormatting sqref="N30:R38 T30:T38">
    <cfRule type="expression" dxfId="24" priority="23">
      <formula>$N30=0</formula>
    </cfRule>
  </conditionalFormatting>
  <conditionalFormatting sqref="Q30:R38 T30:T38">
    <cfRule type="expression" dxfId="23" priority="24">
      <formula>$P30=0</formula>
    </cfRule>
  </conditionalFormatting>
  <conditionalFormatting sqref="S30:S31 S34:S38">
    <cfRule type="expression" dxfId="22" priority="15">
      <formula>$N30=0</formula>
    </cfRule>
  </conditionalFormatting>
  <conditionalFormatting sqref="S17:S18 S21:S25">
    <cfRule type="expression" dxfId="21" priority="17">
      <formula>$N17=0</formula>
    </cfRule>
  </conditionalFormatting>
  <conditionalFormatting sqref="S17:S18 S21:S25">
    <cfRule type="expression" dxfId="20" priority="18">
      <formula>$P17=0</formula>
    </cfRule>
  </conditionalFormatting>
  <conditionalFormatting sqref="S30:S31 S34:S38">
    <cfRule type="expression" dxfId="19" priority="16">
      <formula>$P30=0</formula>
    </cfRule>
  </conditionalFormatting>
  <conditionalFormatting sqref="T39 N39 Q39:R39">
    <cfRule type="expression" dxfId="18" priority="11">
      <formula>$N39=0</formula>
    </cfRule>
  </conditionalFormatting>
  <conditionalFormatting sqref="T26 N26 Q26:R26">
    <cfRule type="expression" dxfId="17" priority="13">
      <formula>$N26=0</formula>
    </cfRule>
  </conditionalFormatting>
  <conditionalFormatting sqref="T26 Q26:R26">
    <cfRule type="expression" dxfId="16" priority="14">
      <formula>$P26=0</formula>
    </cfRule>
  </conditionalFormatting>
  <conditionalFormatting sqref="T39 Q39:R39">
    <cfRule type="expression" dxfId="15" priority="12">
      <formula>$P39=0</formula>
    </cfRule>
  </conditionalFormatting>
  <conditionalFormatting sqref="AA6 W4:AA5 W6:Y6">
    <cfRule type="expression" dxfId="14" priority="29">
      <formula>#REF!=0</formula>
    </cfRule>
  </conditionalFormatting>
  <conditionalFormatting sqref="AA6 W4:AA5 W6:Y6">
    <cfRule type="expression" dxfId="13" priority="30">
      <formula>#REF!=0</formula>
    </cfRule>
  </conditionalFormatting>
  <conditionalFormatting sqref="S20">
    <cfRule type="expression" dxfId="12" priority="7">
      <formula>$N20=0</formula>
    </cfRule>
  </conditionalFormatting>
  <conditionalFormatting sqref="S20">
    <cfRule type="expression" dxfId="11" priority="8">
      <formula>$P20=0</formula>
    </cfRule>
  </conditionalFormatting>
  <conditionalFormatting sqref="S33">
    <cfRule type="expression" dxfId="10" priority="5">
      <formula>$N33=0</formula>
    </cfRule>
  </conditionalFormatting>
  <conditionalFormatting sqref="S33">
    <cfRule type="expression" dxfId="9" priority="6">
      <formula>$P33=0</formula>
    </cfRule>
  </conditionalFormatting>
  <conditionalFormatting sqref="S19">
    <cfRule type="expression" dxfId="8" priority="3">
      <formula>$N19=0</formula>
    </cfRule>
  </conditionalFormatting>
  <conditionalFormatting sqref="S19">
    <cfRule type="expression" dxfId="7" priority="4">
      <formula>$P19=0</formula>
    </cfRule>
  </conditionalFormatting>
  <conditionalFormatting sqref="S32">
    <cfRule type="expression" dxfId="6" priority="1">
      <formula>$N32=0</formula>
    </cfRule>
  </conditionalFormatting>
  <conditionalFormatting sqref="S32">
    <cfRule type="expression" dxfId="5" priority="2">
      <formula>$P32=0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M17"/>
  <sheetViews>
    <sheetView workbookViewId="0">
      <selection activeCell="G15" sqref="G15"/>
    </sheetView>
  </sheetViews>
  <sheetFormatPr defaultRowHeight="15" x14ac:dyDescent="0.25"/>
  <cols>
    <col min="2" max="2" width="15.85546875" bestFit="1" customWidth="1"/>
    <col min="5" max="5" width="15.85546875" bestFit="1" customWidth="1"/>
    <col min="6" max="6" width="2" bestFit="1" customWidth="1"/>
    <col min="7" max="7" width="5" style="7" bestFit="1" customWidth="1"/>
    <col min="8" max="8" width="3" style="7" bestFit="1" customWidth="1"/>
    <col min="9" max="9" width="30" bestFit="1" customWidth="1"/>
    <col min="10" max="10" width="6.140625" bestFit="1" customWidth="1"/>
    <col min="13" max="13" width="14.28515625" bestFit="1" customWidth="1"/>
  </cols>
  <sheetData>
    <row r="4" spans="2:13" ht="15.75" thickBot="1" x14ac:dyDescent="0.3"/>
    <row r="5" spans="2:13" ht="15.75" thickBot="1" x14ac:dyDescent="0.3">
      <c r="I5" s="52" t="str">
        <f>IF(F7="x",I7,IF(F8="x",I8,IF(F9="x",I9,IF(F10="x",I10,IF(F11="x",I11,IF(F12="x",I12,IF(F13="x",I13,IF(F14="x",I14,IF(F15="x",I15,IF(F16="x",I16,""))))))))))</f>
        <v>Circle (Aoe) Melee Energy</v>
      </c>
      <c r="J5" s="52">
        <f>IF(F7="x",J7,IF(F8="x",J8,IF(F9="x",J9,IF(F10="x",J10,IF(F11="x",J11,IF(F12="x",J12,IF(F13="x",J13,IF(F14="x",J14,IF(F15="x",J15,IF(F16="x",J16,""))))))))))</f>
        <v>0.495</v>
      </c>
    </row>
    <row r="6" spans="2:13" ht="15.75" thickBot="1" x14ac:dyDescent="0.3">
      <c r="B6" s="46" t="s">
        <v>18</v>
      </c>
      <c r="C6" s="47"/>
      <c r="G6" s="38">
        <v>0.70284801721572876</v>
      </c>
      <c r="H6" s="38">
        <f>COUNTA(I7:I16)</f>
        <v>10</v>
      </c>
      <c r="I6" s="147" t="s">
        <v>64</v>
      </c>
      <c r="J6" t="s">
        <v>72</v>
      </c>
      <c r="M6" s="147" t="s">
        <v>65</v>
      </c>
    </row>
    <row r="7" spans="2:13" x14ac:dyDescent="0.25">
      <c r="B7" s="43" t="s">
        <v>19</v>
      </c>
      <c r="C7" s="47">
        <v>1.5</v>
      </c>
      <c r="F7" t="str">
        <f>IF($G$6&gt;=G7,IF($G$6&lt;G8,"x",""),"")</f>
        <v/>
      </c>
      <c r="G7" s="56">
        <f>H7/$H$6-0.1</f>
        <v>0</v>
      </c>
      <c r="H7" s="7">
        <v>1</v>
      </c>
      <c r="I7" s="43" t="s">
        <v>66</v>
      </c>
      <c r="J7" s="43">
        <f>$C$7*$C$12</f>
        <v>2.25</v>
      </c>
      <c r="M7" s="44" t="s">
        <v>73</v>
      </c>
    </row>
    <row r="8" spans="2:13" x14ac:dyDescent="0.25">
      <c r="B8" s="44" t="s">
        <v>38</v>
      </c>
      <c r="C8" s="47">
        <v>0.33</v>
      </c>
      <c r="F8" t="str">
        <f>IF($G$6&gt;=G8,IF($G$6&lt;G9,"x",""),"")</f>
        <v/>
      </c>
      <c r="G8" s="56">
        <f t="shared" ref="G8:G16" si="0">H8/$H$6-0.1</f>
        <v>0.1</v>
      </c>
      <c r="H8" s="7">
        <v>2</v>
      </c>
      <c r="I8" s="44" t="s">
        <v>69</v>
      </c>
      <c r="J8" s="44">
        <f>$C$7*$C$13</f>
        <v>1.5</v>
      </c>
      <c r="M8" s="44" t="s">
        <v>74</v>
      </c>
    </row>
    <row r="9" spans="2:13" x14ac:dyDescent="0.25">
      <c r="B9" s="44" t="s">
        <v>39</v>
      </c>
      <c r="C9" s="47">
        <v>0.33</v>
      </c>
      <c r="F9" t="str">
        <f t="shared" ref="F9:F16" si="1">IF($G$6&gt;=G9,IF($G$6&lt;G10,"x",""),"")</f>
        <v/>
      </c>
      <c r="G9" s="56">
        <f t="shared" si="0"/>
        <v>0.19999999999999998</v>
      </c>
      <c r="H9" s="7">
        <v>3</v>
      </c>
      <c r="I9" s="44" t="s">
        <v>67</v>
      </c>
      <c r="J9" s="44">
        <f>$C$7*$C$12</f>
        <v>2.25</v>
      </c>
      <c r="M9" s="44" t="s">
        <v>75</v>
      </c>
    </row>
    <row r="10" spans="2:13" ht="15.75" thickBot="1" x14ac:dyDescent="0.3">
      <c r="B10" s="44" t="s">
        <v>17</v>
      </c>
      <c r="C10" s="47">
        <v>0.75</v>
      </c>
      <c r="F10" t="str">
        <f t="shared" si="1"/>
        <v/>
      </c>
      <c r="G10" s="56">
        <f t="shared" si="0"/>
        <v>0.30000000000000004</v>
      </c>
      <c r="H10" s="7">
        <v>4</v>
      </c>
      <c r="I10" s="45" t="s">
        <v>68</v>
      </c>
      <c r="J10" s="44">
        <f>$C$7*$C$13</f>
        <v>1.5</v>
      </c>
      <c r="M10" s="44" t="s">
        <v>76</v>
      </c>
    </row>
    <row r="11" spans="2:13" x14ac:dyDescent="0.25">
      <c r="B11" s="48" t="s">
        <v>60</v>
      </c>
      <c r="C11" s="47"/>
      <c r="F11" t="str">
        <f t="shared" si="1"/>
        <v/>
      </c>
      <c r="G11" s="56">
        <f t="shared" si="0"/>
        <v>0.4</v>
      </c>
      <c r="H11" s="7">
        <v>5</v>
      </c>
      <c r="I11" s="43" t="s">
        <v>82</v>
      </c>
      <c r="J11" s="43">
        <f>$C$8*$C$13</f>
        <v>0.33</v>
      </c>
      <c r="M11" s="44" t="s">
        <v>77</v>
      </c>
    </row>
    <row r="12" spans="2:13" x14ac:dyDescent="0.25">
      <c r="B12" s="49" t="s">
        <v>21</v>
      </c>
      <c r="C12" s="47">
        <v>1.5</v>
      </c>
      <c r="F12" t="str">
        <f t="shared" si="1"/>
        <v/>
      </c>
      <c r="G12" s="56">
        <f t="shared" si="0"/>
        <v>0.5</v>
      </c>
      <c r="H12" s="7">
        <v>6</v>
      </c>
      <c r="I12" s="44" t="s">
        <v>81</v>
      </c>
      <c r="J12" s="44">
        <f>$C$8*$C$13</f>
        <v>0.33</v>
      </c>
      <c r="M12" s="44" t="s">
        <v>78</v>
      </c>
    </row>
    <row r="13" spans="2:13" ht="15.75" thickBot="1" x14ac:dyDescent="0.3">
      <c r="B13" s="49" t="s">
        <v>22</v>
      </c>
      <c r="C13" s="47">
        <v>1</v>
      </c>
      <c r="F13" t="str">
        <f t="shared" si="1"/>
        <v/>
      </c>
      <c r="G13" s="56">
        <f t="shared" si="0"/>
        <v>0.6</v>
      </c>
      <c r="H13" s="7">
        <v>7</v>
      </c>
      <c r="I13" s="44" t="s">
        <v>79</v>
      </c>
      <c r="J13" s="44">
        <f>$C$9*$C$12</f>
        <v>0.495</v>
      </c>
      <c r="M13" s="44"/>
    </row>
    <row r="14" spans="2:13" ht="15.75" thickBot="1" x14ac:dyDescent="0.3">
      <c r="B14" s="48" t="s">
        <v>37</v>
      </c>
      <c r="C14" s="47"/>
      <c r="F14" t="str">
        <f t="shared" si="1"/>
        <v>x</v>
      </c>
      <c r="G14" s="56">
        <f t="shared" si="0"/>
        <v>0.70000000000000007</v>
      </c>
      <c r="H14" s="7">
        <v>8</v>
      </c>
      <c r="I14" s="45" t="s">
        <v>80</v>
      </c>
      <c r="J14" s="45">
        <f>$C$9*$C$12</f>
        <v>0.495</v>
      </c>
      <c r="M14" s="44"/>
    </row>
    <row r="15" spans="2:13" x14ac:dyDescent="0.25">
      <c r="B15" s="44" t="s">
        <v>61</v>
      </c>
      <c r="C15" s="47"/>
      <c r="F15" t="str">
        <f t="shared" si="1"/>
        <v/>
      </c>
      <c r="G15" s="56">
        <f t="shared" si="0"/>
        <v>0.8</v>
      </c>
      <c r="H15" s="7">
        <v>9</v>
      </c>
      <c r="I15" s="43" t="s">
        <v>70</v>
      </c>
      <c r="J15" s="44">
        <f>C10</f>
        <v>0.75</v>
      </c>
      <c r="M15" s="44"/>
    </row>
    <row r="16" spans="2:13" ht="15.75" thickBot="1" x14ac:dyDescent="0.3">
      <c r="B16" s="45" t="s">
        <v>62</v>
      </c>
      <c r="C16" s="47"/>
      <c r="F16" t="str">
        <f t="shared" si="1"/>
        <v/>
      </c>
      <c r="G16" s="56">
        <f t="shared" si="0"/>
        <v>0.9</v>
      </c>
      <c r="H16" s="7">
        <v>10</v>
      </c>
      <c r="I16" s="45" t="s">
        <v>71</v>
      </c>
      <c r="J16" s="45">
        <f>C10</f>
        <v>0.75</v>
      </c>
      <c r="M16" s="45"/>
    </row>
    <row r="17" spans="7:7" x14ac:dyDescent="0.25">
      <c r="G17" s="7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K10" sqref="AK10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" si="0">D1+1</f>
        <v>3</v>
      </c>
      <c r="F1" s="7">
        <f t="shared" ref="F1" si="1">E1+1</f>
        <v>4</v>
      </c>
      <c r="G1" s="7">
        <f t="shared" ref="G1" si="2">F1+1</f>
        <v>5</v>
      </c>
      <c r="H1" s="7">
        <f t="shared" ref="H1" si="3">G1+1</f>
        <v>6</v>
      </c>
      <c r="I1" s="7">
        <f t="shared" ref="I1" si="4">H1+1</f>
        <v>7</v>
      </c>
      <c r="J1" s="7">
        <f t="shared" ref="J1" si="5">I1+1</f>
        <v>8</v>
      </c>
      <c r="K1" s="7">
        <f t="shared" ref="K1" si="6">J1+1</f>
        <v>9</v>
      </c>
      <c r="L1" s="7">
        <f t="shared" ref="L1" si="7">K1+1</f>
        <v>10</v>
      </c>
      <c r="M1" s="7">
        <f t="shared" ref="M1" si="8">L1+1</f>
        <v>11</v>
      </c>
      <c r="N1" s="7">
        <f t="shared" ref="N1" si="9">M1+1</f>
        <v>12</v>
      </c>
      <c r="O1" s="7">
        <f t="shared" ref="O1" si="10">N1+1</f>
        <v>13</v>
      </c>
      <c r="P1" s="7">
        <f t="shared" ref="P1" si="11">O1+1</f>
        <v>14</v>
      </c>
      <c r="Q1" s="7">
        <f t="shared" ref="Q1" si="12">P1+1</f>
        <v>15</v>
      </c>
      <c r="R1" s="7">
        <f t="shared" ref="R1" si="13">Q1+1</f>
        <v>16</v>
      </c>
      <c r="S1" s="7">
        <f t="shared" ref="S1" si="14">R1+1</f>
        <v>17</v>
      </c>
      <c r="T1" s="7">
        <f t="shared" ref="T1" si="15">S1+1</f>
        <v>18</v>
      </c>
      <c r="U1" s="7">
        <f t="shared" ref="U1" si="16">T1+1</f>
        <v>19</v>
      </c>
      <c r="V1" s="7">
        <f t="shared" ref="V1" si="17">U1+1</f>
        <v>20</v>
      </c>
      <c r="W1" s="7">
        <f t="shared" ref="W1" si="18">V1+1</f>
        <v>21</v>
      </c>
      <c r="X1" s="7">
        <f t="shared" ref="X1" si="19">W1+1</f>
        <v>22</v>
      </c>
      <c r="Y1" s="7">
        <f t="shared" ref="Y1" si="20">X1+1</f>
        <v>23</v>
      </c>
      <c r="Z1" s="7">
        <f t="shared" ref="Z1" si="21">Y1+1</f>
        <v>24</v>
      </c>
      <c r="AA1" s="7">
        <f t="shared" ref="AA1" si="22">Z1+1</f>
        <v>25</v>
      </c>
      <c r="AB1" s="7">
        <f t="shared" ref="AB1" si="23">AA1+1</f>
        <v>26</v>
      </c>
      <c r="AC1" s="7">
        <f t="shared" ref="AC1:AF1" si="24">AB1+1</f>
        <v>27</v>
      </c>
      <c r="AD1" s="7">
        <f t="shared" si="24"/>
        <v>28</v>
      </c>
      <c r="AE1" s="7">
        <f t="shared" si="24"/>
        <v>29</v>
      </c>
      <c r="AF1" s="7">
        <f t="shared" si="24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86</v>
      </c>
      <c r="R3" s="7" t="s">
        <v>88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90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25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86</v>
      </c>
      <c r="R4" s="7" t="s">
        <v>88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25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86</v>
      </c>
      <c r="R5" s="7" t="s">
        <v>88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84</v>
      </c>
      <c r="Z5" s="7" t="s">
        <v>84</v>
      </c>
      <c r="AA5" s="7" t="s">
        <v>84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25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86</v>
      </c>
      <c r="R6" s="7" t="s">
        <v>88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25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86</v>
      </c>
      <c r="R7" s="7" t="s">
        <v>88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25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86</v>
      </c>
      <c r="R8" s="7" t="s">
        <v>88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25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88</v>
      </c>
      <c r="L9" s="7" t="s">
        <v>88</v>
      </c>
      <c r="M9" s="7" t="s">
        <v>88</v>
      </c>
      <c r="N9" s="7" t="s">
        <v>16</v>
      </c>
      <c r="O9" s="7" t="s">
        <v>16</v>
      </c>
      <c r="P9" s="7" t="s">
        <v>16</v>
      </c>
      <c r="Q9" s="7" t="s">
        <v>16</v>
      </c>
      <c r="R9" s="7" t="s">
        <v>16</v>
      </c>
      <c r="S9" s="7" t="s">
        <v>16</v>
      </c>
      <c r="T9" s="7" t="s">
        <v>16</v>
      </c>
      <c r="U9" s="7" t="s">
        <v>16</v>
      </c>
      <c r="V9" s="7" t="s">
        <v>16</v>
      </c>
      <c r="W9" s="7" t="s">
        <v>16</v>
      </c>
      <c r="X9" s="7" t="s">
        <v>16</v>
      </c>
      <c r="Y9" s="7" t="s">
        <v>16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25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88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88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25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88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88</v>
      </c>
      <c r="Z11" s="7" t="s">
        <v>84</v>
      </c>
      <c r="AA11" s="7" t="s">
        <v>84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25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16</v>
      </c>
      <c r="L12" s="7" t="s">
        <v>84</v>
      </c>
      <c r="M12" s="7" t="s">
        <v>84</v>
      </c>
      <c r="N12" s="7" t="s">
        <v>86</v>
      </c>
      <c r="O12" s="7" t="s">
        <v>86</v>
      </c>
      <c r="P12" s="7" t="s">
        <v>86</v>
      </c>
      <c r="Q12" s="7" t="s">
        <v>84</v>
      </c>
      <c r="R12" s="7" t="s">
        <v>84</v>
      </c>
      <c r="S12" s="7" t="s">
        <v>86</v>
      </c>
      <c r="T12" s="7" t="s">
        <v>86</v>
      </c>
      <c r="U12" s="7" t="s">
        <v>86</v>
      </c>
      <c r="V12" s="7" t="s">
        <v>86</v>
      </c>
      <c r="W12" s="7" t="s">
        <v>84</v>
      </c>
      <c r="X12" s="7" t="s">
        <v>84</v>
      </c>
      <c r="Y12" s="7" t="s">
        <v>88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25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16</v>
      </c>
      <c r="L13" s="7" t="s">
        <v>84</v>
      </c>
      <c r="M13" s="7" t="s">
        <v>84</v>
      </c>
      <c r="N13" s="7" t="s">
        <v>86</v>
      </c>
      <c r="O13" s="7" t="s">
        <v>88</v>
      </c>
      <c r="P13" s="7" t="s">
        <v>88</v>
      </c>
      <c r="Q13" s="7" t="s">
        <v>84</v>
      </c>
      <c r="R13" s="7" t="s">
        <v>84</v>
      </c>
      <c r="S13" s="7" t="s">
        <v>88</v>
      </c>
      <c r="T13" s="7" t="s">
        <v>88</v>
      </c>
      <c r="U13" s="7" t="s">
        <v>88</v>
      </c>
      <c r="V13" s="7" t="s">
        <v>86</v>
      </c>
      <c r="W13" s="7" t="s">
        <v>84</v>
      </c>
      <c r="X13" s="7" t="s">
        <v>84</v>
      </c>
      <c r="Y13" s="7" t="s">
        <v>88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25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16</v>
      </c>
      <c r="L14" s="7" t="s">
        <v>84</v>
      </c>
      <c r="M14" s="7" t="s">
        <v>84</v>
      </c>
      <c r="N14" s="7" t="s">
        <v>86</v>
      </c>
      <c r="O14" s="7" t="s">
        <v>88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84</v>
      </c>
      <c r="U14" s="7" t="s">
        <v>88</v>
      </c>
      <c r="V14" s="7" t="s">
        <v>86</v>
      </c>
      <c r="W14" s="7" t="s">
        <v>84</v>
      </c>
      <c r="X14" s="7" t="s">
        <v>84</v>
      </c>
      <c r="Y14" s="7" t="s">
        <v>88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25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84</v>
      </c>
      <c r="K15" s="7" t="s">
        <v>16</v>
      </c>
      <c r="L15" s="7" t="s">
        <v>84</v>
      </c>
      <c r="M15" s="7" t="s">
        <v>84</v>
      </c>
      <c r="N15" s="7" t="s">
        <v>86</v>
      </c>
      <c r="O15" s="7" t="s">
        <v>88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88</v>
      </c>
      <c r="V15" s="7" t="s">
        <v>86</v>
      </c>
      <c r="W15" s="7" t="s">
        <v>84</v>
      </c>
      <c r="X15" s="7" t="s">
        <v>84</v>
      </c>
      <c r="Y15" s="7" t="s">
        <v>16</v>
      </c>
      <c r="Z15" s="7" t="s">
        <v>84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25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16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16</v>
      </c>
      <c r="Z16" s="7" t="s">
        <v>88</v>
      </c>
      <c r="AA16" s="7" t="s">
        <v>88</v>
      </c>
      <c r="AB16" s="7" t="s">
        <v>88</v>
      </c>
      <c r="AC16" s="7" t="s">
        <v>88</v>
      </c>
      <c r="AD16" s="7" t="s">
        <v>88</v>
      </c>
      <c r="AE16" s="7" t="s">
        <v>88</v>
      </c>
      <c r="AF16" s="7" t="s">
        <v>16</v>
      </c>
    </row>
    <row r="17" spans="2:32" x14ac:dyDescent="0.25">
      <c r="B17" s="7">
        <f t="shared" si="25"/>
        <v>16</v>
      </c>
      <c r="C17" s="7" t="s">
        <v>16</v>
      </c>
      <c r="D17" s="7" t="s">
        <v>88</v>
      </c>
      <c r="E17" s="7" t="s">
        <v>88</v>
      </c>
      <c r="F17" s="7" t="s">
        <v>88</v>
      </c>
      <c r="G17" s="7" t="s">
        <v>88</v>
      </c>
      <c r="H17" s="7" t="s">
        <v>88</v>
      </c>
      <c r="I17" s="7" t="s">
        <v>88</v>
      </c>
      <c r="J17" s="7" t="s">
        <v>88</v>
      </c>
      <c r="K17" s="7" t="s">
        <v>16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16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25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16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84</v>
      </c>
      <c r="U18" s="7" t="s">
        <v>88</v>
      </c>
      <c r="V18" s="7" t="s">
        <v>86</v>
      </c>
      <c r="W18" s="7" t="s">
        <v>84</v>
      </c>
      <c r="X18" s="7" t="s">
        <v>84</v>
      </c>
      <c r="Y18" s="7" t="s">
        <v>16</v>
      </c>
      <c r="Z18" s="7" t="s">
        <v>84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25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16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88</v>
      </c>
      <c r="V19" s="7" t="s">
        <v>86</v>
      </c>
      <c r="W19" s="7" t="s">
        <v>84</v>
      </c>
      <c r="X19" s="7" t="s">
        <v>84</v>
      </c>
      <c r="Y19" s="7" t="s">
        <v>16</v>
      </c>
      <c r="Z19" s="7" t="s">
        <v>84</v>
      </c>
      <c r="AA19" s="7" t="s">
        <v>84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25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16</v>
      </c>
      <c r="L20" s="7" t="s">
        <v>84</v>
      </c>
      <c r="M20" s="7" t="s">
        <v>84</v>
      </c>
      <c r="N20" s="7" t="s">
        <v>86</v>
      </c>
      <c r="O20" s="7" t="s">
        <v>88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88</v>
      </c>
      <c r="V20" s="7" t="s">
        <v>86</v>
      </c>
      <c r="W20" s="7" t="s">
        <v>84</v>
      </c>
      <c r="X20" s="7" t="s">
        <v>84</v>
      </c>
      <c r="Y20" s="7" t="s">
        <v>16</v>
      </c>
      <c r="Z20" s="7" t="s">
        <v>84</v>
      </c>
      <c r="AA20" s="7" t="s">
        <v>84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25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84</v>
      </c>
      <c r="J21" s="7" t="s">
        <v>84</v>
      </c>
      <c r="K21" s="7" t="s">
        <v>16</v>
      </c>
      <c r="L21" s="7" t="s">
        <v>84</v>
      </c>
      <c r="M21" s="7" t="s">
        <v>84</v>
      </c>
      <c r="N21" s="7" t="s">
        <v>86</v>
      </c>
      <c r="O21" s="7" t="s">
        <v>88</v>
      </c>
      <c r="P21" s="7" t="s">
        <v>84</v>
      </c>
      <c r="Q21" s="7" t="s">
        <v>84</v>
      </c>
      <c r="R21" s="7" t="s">
        <v>88</v>
      </c>
      <c r="S21" s="7" t="s">
        <v>88</v>
      </c>
      <c r="T21" s="7" t="s">
        <v>88</v>
      </c>
      <c r="U21" s="7" t="s">
        <v>88</v>
      </c>
      <c r="V21" s="7" t="s">
        <v>86</v>
      </c>
      <c r="W21" s="7" t="s">
        <v>84</v>
      </c>
      <c r="X21" s="7" t="s">
        <v>84</v>
      </c>
      <c r="Y21" s="7" t="s">
        <v>16</v>
      </c>
      <c r="Z21" s="7" t="s">
        <v>84</v>
      </c>
      <c r="AA21" s="7" t="s">
        <v>84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25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16</v>
      </c>
      <c r="L22" s="7" t="s">
        <v>84</v>
      </c>
      <c r="M22" s="7" t="s">
        <v>84</v>
      </c>
      <c r="N22" s="7" t="s">
        <v>86</v>
      </c>
      <c r="O22" s="7" t="s">
        <v>86</v>
      </c>
      <c r="P22" s="7" t="s">
        <v>84</v>
      </c>
      <c r="Q22" s="7" t="s">
        <v>84</v>
      </c>
      <c r="R22" s="7" t="s">
        <v>86</v>
      </c>
      <c r="S22" s="7" t="s">
        <v>86</v>
      </c>
      <c r="T22" s="7" t="s">
        <v>86</v>
      </c>
      <c r="U22" s="7" t="s">
        <v>86</v>
      </c>
      <c r="V22" s="7" t="s">
        <v>86</v>
      </c>
      <c r="W22" s="7" t="s">
        <v>84</v>
      </c>
      <c r="X22" s="7" t="s">
        <v>84</v>
      </c>
      <c r="Y22" s="7" t="s">
        <v>16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25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16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16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25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16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16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25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16</v>
      </c>
      <c r="L25" s="7" t="s">
        <v>88</v>
      </c>
      <c r="M25" s="7" t="s">
        <v>88</v>
      </c>
      <c r="N25" s="7" t="s">
        <v>88</v>
      </c>
      <c r="O25" s="7" t="s">
        <v>16</v>
      </c>
      <c r="P25" s="7" t="s">
        <v>16</v>
      </c>
      <c r="Q25" s="7" t="s">
        <v>16</v>
      </c>
      <c r="R25" s="7" t="s">
        <v>16</v>
      </c>
      <c r="S25" s="7" t="s">
        <v>16</v>
      </c>
      <c r="T25" s="7" t="s">
        <v>16</v>
      </c>
      <c r="U25" s="7" t="s">
        <v>16</v>
      </c>
      <c r="V25" s="7" t="s">
        <v>88</v>
      </c>
      <c r="W25" s="7" t="s">
        <v>88</v>
      </c>
      <c r="X25" s="7" t="s">
        <v>88</v>
      </c>
      <c r="Y25" s="7" t="s">
        <v>88</v>
      </c>
      <c r="Z25" s="7" t="s">
        <v>84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25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86</v>
      </c>
      <c r="S26" s="7" t="s">
        <v>88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25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86</v>
      </c>
      <c r="S27" s="7" t="s">
        <v>88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25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86</v>
      </c>
      <c r="S28" s="7" t="s">
        <v>88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25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86</v>
      </c>
      <c r="S29" s="7" t="s">
        <v>88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25"/>
        <v>29</v>
      </c>
      <c r="C30" s="7" t="s">
        <v>16</v>
      </c>
      <c r="D30" s="7" t="s">
        <v>90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86</v>
      </c>
      <c r="S30" s="7" t="s">
        <v>88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25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4" priority="3" operator="equal">
      <formula>"h"</formula>
    </cfRule>
    <cfRule type="cellIs" dxfId="3" priority="4" operator="equal">
      <formula>"d"</formula>
    </cfRule>
    <cfRule type="cellIs" dxfId="2" priority="5" operator="equal">
      <formula>"o"</formula>
    </cfRule>
    <cfRule type="cellIs" dxfId="1" priority="6" operator="equal">
      <formula>"x"</formula>
    </cfRule>
    <cfRule type="colorScale" priority="2">
      <colorScale>
        <cfvo type="min"/>
        <cfvo type="max"/>
        <color rgb="FFFF7128"/>
        <color rgb="FFFFEF9C"/>
      </colorScale>
    </cfRule>
    <cfRule type="cellIs" dxfId="0" priority="1" operator="equal">
      <formula>"s"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Guidelines</vt:lpstr>
      <vt:lpstr>MechRoller</vt:lpstr>
      <vt:lpstr>WeaponRoller</vt:lpstr>
      <vt:lpstr>Mapper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Sun</dc:creator>
  <cp:lastModifiedBy>The Sun</cp:lastModifiedBy>
  <dcterms:created xsi:type="dcterms:W3CDTF">2015-06-05T17:43:54Z</dcterms:created>
  <dcterms:modified xsi:type="dcterms:W3CDTF">2015-06-06T06:03:46Z</dcterms:modified>
</cp:coreProperties>
</file>