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he Sun\Desktop\GitHub\jam1\Doc\"/>
    </mc:Choice>
  </mc:AlternateContent>
  <bookViews>
    <workbookView xWindow="0" yWindow="0" windowWidth="25125" windowHeight="12435" tabRatio="860" firstSheet="3" activeTab="4"/>
  </bookViews>
  <sheets>
    <sheet name="Guidelines" sheetId="5" r:id="rId1"/>
    <sheet name="MechRoller" sheetId="6" r:id="rId2"/>
    <sheet name="Hulls" sheetId="16" r:id="rId3"/>
    <sheet name="WeaponRoller" sheetId="7" r:id="rId4"/>
    <sheet name="MoreWeaponNotes" sheetId="11" r:id="rId5"/>
    <sheet name="BlankMap" sheetId="19" r:id="rId6"/>
    <sheet name="Map1" sheetId="8" r:id="rId7"/>
    <sheet name="Map2" sheetId="13" r:id="rId8"/>
    <sheet name="Map3" sheetId="14" r:id="rId9"/>
    <sheet name="Map4" sheetId="15" r:id="rId10"/>
    <sheet name="Map5" sheetId="12" r:id="rId11"/>
    <sheet name="Map6" sheetId="20" r:id="rId12"/>
    <sheet name="Map7" sheetId="21" r:id="rId13"/>
    <sheet name="Map8" sheetId="22" r:id="rId14"/>
    <sheet name="UIScrap" sheetId="9" r:id="rId15"/>
    <sheet name="Sheet9" sheetId="23" r:id="rId16"/>
    <sheet name="UIScrap2" sheetId="10" r:id="rId17"/>
    <sheet name="Metanotes" sheetId="18" r:id="rId1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2" l="1"/>
  <c r="B4" i="22" s="1"/>
  <c r="B5" i="22" s="1"/>
  <c r="B6" i="22" s="1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B28" i="22" s="1"/>
  <c r="B29" i="22" s="1"/>
  <c r="B30" i="22" s="1"/>
  <c r="B31" i="22" s="1"/>
  <c r="E1" i="22"/>
  <c r="F1" i="22" s="1"/>
  <c r="G1" i="22" s="1"/>
  <c r="H1" i="22" s="1"/>
  <c r="I1" i="22" s="1"/>
  <c r="J1" i="22" s="1"/>
  <c r="K1" i="22" s="1"/>
  <c r="L1" i="22" s="1"/>
  <c r="M1" i="22" s="1"/>
  <c r="N1" i="22" s="1"/>
  <c r="O1" i="22" s="1"/>
  <c r="P1" i="22" s="1"/>
  <c r="Q1" i="22" s="1"/>
  <c r="R1" i="22" s="1"/>
  <c r="S1" i="22" s="1"/>
  <c r="T1" i="22" s="1"/>
  <c r="U1" i="22" s="1"/>
  <c r="V1" i="22" s="1"/>
  <c r="W1" i="22" s="1"/>
  <c r="X1" i="22" s="1"/>
  <c r="Y1" i="22" s="1"/>
  <c r="Z1" i="22" s="1"/>
  <c r="AA1" i="22" s="1"/>
  <c r="AB1" i="22" s="1"/>
  <c r="AC1" i="22" s="1"/>
  <c r="AD1" i="22" s="1"/>
  <c r="AE1" i="22" s="1"/>
  <c r="AF1" i="22" s="1"/>
  <c r="D1" i="22"/>
  <c r="B3" i="21"/>
  <c r="B4" i="21" s="1"/>
  <c r="B5" i="21" s="1"/>
  <c r="B6" i="21" s="1"/>
  <c r="B7" i="21" s="1"/>
  <c r="B8" i="21" s="1"/>
  <c r="B9" i="21" s="1"/>
  <c r="B10" i="21" s="1"/>
  <c r="B11" i="21" s="1"/>
  <c r="B12" i="21" s="1"/>
  <c r="B13" i="21" s="1"/>
  <c r="B14" i="21" s="1"/>
  <c r="B15" i="21" s="1"/>
  <c r="B16" i="21" s="1"/>
  <c r="B17" i="21" s="1"/>
  <c r="B18" i="21" s="1"/>
  <c r="B19" i="21" s="1"/>
  <c r="B20" i="21" s="1"/>
  <c r="B21" i="21" s="1"/>
  <c r="B22" i="21" s="1"/>
  <c r="B23" i="21" s="1"/>
  <c r="B24" i="21" s="1"/>
  <c r="B25" i="21" s="1"/>
  <c r="B26" i="21" s="1"/>
  <c r="B27" i="21" s="1"/>
  <c r="B28" i="21" s="1"/>
  <c r="B29" i="21" s="1"/>
  <c r="B30" i="21" s="1"/>
  <c r="B31" i="21" s="1"/>
  <c r="D1" i="21"/>
  <c r="E1" i="21" s="1"/>
  <c r="F1" i="21" s="1"/>
  <c r="G1" i="21" s="1"/>
  <c r="H1" i="21" s="1"/>
  <c r="I1" i="21" s="1"/>
  <c r="J1" i="21" s="1"/>
  <c r="K1" i="21" s="1"/>
  <c r="L1" i="21" s="1"/>
  <c r="M1" i="21" s="1"/>
  <c r="N1" i="21" s="1"/>
  <c r="O1" i="21" s="1"/>
  <c r="P1" i="21" s="1"/>
  <c r="Q1" i="21" s="1"/>
  <c r="R1" i="21" s="1"/>
  <c r="S1" i="21" s="1"/>
  <c r="T1" i="21" s="1"/>
  <c r="U1" i="21" s="1"/>
  <c r="V1" i="21" s="1"/>
  <c r="W1" i="21" s="1"/>
  <c r="X1" i="21" s="1"/>
  <c r="Y1" i="21" s="1"/>
  <c r="Z1" i="21" s="1"/>
  <c r="AA1" i="21" s="1"/>
  <c r="AB1" i="21" s="1"/>
  <c r="AC1" i="21" s="1"/>
  <c r="AD1" i="21" s="1"/>
  <c r="AE1" i="21" s="1"/>
  <c r="AF1" i="21" s="1"/>
  <c r="B3" i="20"/>
  <c r="B4" i="20" s="1"/>
  <c r="B5" i="20" s="1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D1" i="20"/>
  <c r="E1" i="20" s="1"/>
  <c r="F1" i="20" s="1"/>
  <c r="G1" i="20" s="1"/>
  <c r="H1" i="20" s="1"/>
  <c r="I1" i="20" s="1"/>
  <c r="J1" i="20" s="1"/>
  <c r="K1" i="20" s="1"/>
  <c r="L1" i="20" s="1"/>
  <c r="M1" i="20" s="1"/>
  <c r="N1" i="20" s="1"/>
  <c r="O1" i="20" s="1"/>
  <c r="P1" i="20" s="1"/>
  <c r="Q1" i="20" s="1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B4" i="19"/>
  <c r="B5" i="19" s="1"/>
  <c r="B6" i="19" s="1"/>
  <c r="B7" i="19" s="1"/>
  <c r="B8" i="19" s="1"/>
  <c r="B9" i="19" s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" i="19"/>
  <c r="D1" i="19"/>
  <c r="E1" i="19" s="1"/>
  <c r="F1" i="19" s="1"/>
  <c r="G1" i="19" s="1"/>
  <c r="H1" i="19" s="1"/>
  <c r="I1" i="19" s="1"/>
  <c r="J1" i="19" s="1"/>
  <c r="K1" i="19" s="1"/>
  <c r="L1" i="19" s="1"/>
  <c r="M1" i="19" s="1"/>
  <c r="N1" i="19" s="1"/>
  <c r="O1" i="19" s="1"/>
  <c r="P1" i="19" s="1"/>
  <c r="Q1" i="19" s="1"/>
  <c r="R1" i="19" s="1"/>
  <c r="S1" i="19" s="1"/>
  <c r="T1" i="19" s="1"/>
  <c r="U1" i="19" s="1"/>
  <c r="V1" i="19" s="1"/>
  <c r="W1" i="19" s="1"/>
  <c r="X1" i="19" s="1"/>
  <c r="Y1" i="19" s="1"/>
  <c r="Z1" i="19" s="1"/>
  <c r="AA1" i="19" s="1"/>
  <c r="AB1" i="19" s="1"/>
  <c r="AC1" i="19" s="1"/>
  <c r="AD1" i="19" s="1"/>
  <c r="AE1" i="19" s="1"/>
  <c r="AF1" i="19" s="1"/>
  <c r="B4" i="15" l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" i="15"/>
  <c r="D1" i="15"/>
  <c r="E1" i="15" s="1"/>
  <c r="F1" i="15" s="1"/>
  <c r="G1" i="15" s="1"/>
  <c r="H1" i="15" s="1"/>
  <c r="I1" i="15" s="1"/>
  <c r="J1" i="15" s="1"/>
  <c r="K1" i="15" s="1"/>
  <c r="L1" i="15" s="1"/>
  <c r="M1" i="15" s="1"/>
  <c r="N1" i="15" s="1"/>
  <c r="O1" i="15" s="1"/>
  <c r="P1" i="15" s="1"/>
  <c r="Q1" i="15" s="1"/>
  <c r="R1" i="15" s="1"/>
  <c r="S1" i="15" s="1"/>
  <c r="T1" i="15" s="1"/>
  <c r="U1" i="15" s="1"/>
  <c r="V1" i="15" s="1"/>
  <c r="W1" i="15" s="1"/>
  <c r="X1" i="15" s="1"/>
  <c r="Y1" i="15" s="1"/>
  <c r="Z1" i="15" s="1"/>
  <c r="AA1" i="15" s="1"/>
  <c r="AB1" i="15" s="1"/>
  <c r="AC1" i="15" s="1"/>
  <c r="AD1" i="15" s="1"/>
  <c r="AE1" i="15" s="1"/>
  <c r="AF1" i="15" s="1"/>
  <c r="B4" i="14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" i="14"/>
  <c r="D1" i="14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AE1" i="14" s="1"/>
  <c r="AF1" i="14" s="1"/>
  <c r="B3" i="13"/>
  <c r="B4" i="13" s="1"/>
  <c r="B5" i="13" s="1"/>
  <c r="B6" i="13" s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D1" i="13"/>
  <c r="E1" i="13" s="1"/>
  <c r="F1" i="13" s="1"/>
  <c r="G1" i="13" s="1"/>
  <c r="H1" i="13" s="1"/>
  <c r="I1" i="13" s="1"/>
  <c r="J1" i="13" s="1"/>
  <c r="K1" i="13" s="1"/>
  <c r="L1" i="13" s="1"/>
  <c r="M1" i="13" s="1"/>
  <c r="N1" i="13" s="1"/>
  <c r="O1" i="13" s="1"/>
  <c r="P1" i="13" s="1"/>
  <c r="Q1" i="13" s="1"/>
  <c r="R1" i="13" s="1"/>
  <c r="S1" i="13" s="1"/>
  <c r="T1" i="13" s="1"/>
  <c r="U1" i="13" s="1"/>
  <c r="V1" i="13" s="1"/>
  <c r="W1" i="13" s="1"/>
  <c r="X1" i="13" s="1"/>
  <c r="Y1" i="13" s="1"/>
  <c r="Z1" i="13" s="1"/>
  <c r="AA1" i="13" s="1"/>
  <c r="AB1" i="13" s="1"/>
  <c r="AC1" i="13" s="1"/>
  <c r="AD1" i="13" s="1"/>
  <c r="AE1" i="13" s="1"/>
  <c r="AF1" i="13" s="1"/>
  <c r="B3" i="12"/>
  <c r="B4" i="12" s="1"/>
  <c r="B5" i="12" s="1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E1" i="12"/>
  <c r="F1" i="12" s="1"/>
  <c r="G1" i="12" s="1"/>
  <c r="H1" i="12" s="1"/>
  <c r="I1" i="12" s="1"/>
  <c r="J1" i="12" s="1"/>
  <c r="K1" i="12" s="1"/>
  <c r="L1" i="12" s="1"/>
  <c r="M1" i="12" s="1"/>
  <c r="N1" i="12" s="1"/>
  <c r="O1" i="12" s="1"/>
  <c r="P1" i="12" s="1"/>
  <c r="Q1" i="12" s="1"/>
  <c r="R1" i="12" s="1"/>
  <c r="S1" i="12" s="1"/>
  <c r="T1" i="12" s="1"/>
  <c r="U1" i="12" s="1"/>
  <c r="V1" i="12" s="1"/>
  <c r="W1" i="12" s="1"/>
  <c r="X1" i="12" s="1"/>
  <c r="Y1" i="12" s="1"/>
  <c r="Z1" i="12" s="1"/>
  <c r="AA1" i="12" s="1"/>
  <c r="AB1" i="12" s="1"/>
  <c r="AC1" i="12" s="1"/>
  <c r="AD1" i="12" s="1"/>
  <c r="AE1" i="12" s="1"/>
  <c r="AF1" i="12" s="1"/>
  <c r="D1" i="12"/>
  <c r="H3" i="10"/>
  <c r="H16" i="10"/>
  <c r="G2" i="9"/>
  <c r="AF1" i="8" l="1"/>
  <c r="AE1" i="8"/>
  <c r="AD1" i="8"/>
  <c r="D1" i="8"/>
  <c r="E1" i="8" s="1"/>
  <c r="F1" i="8" s="1"/>
  <c r="G1" i="8" s="1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V1" i="8" s="1"/>
  <c r="W1" i="8" s="1"/>
  <c r="X1" i="8" s="1"/>
  <c r="Y1" i="8" s="1"/>
  <c r="Z1" i="8" s="1"/>
  <c r="AA1" i="8" s="1"/>
  <c r="AB1" i="8" s="1"/>
  <c r="AC1" i="8" s="1"/>
  <c r="B31" i="8" l="1"/>
  <c r="B30" i="8"/>
  <c r="B29" i="8"/>
  <c r="B3" i="8"/>
  <c r="B4" i="8" s="1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F7" i="7" l="1"/>
  <c r="F9" i="7"/>
  <c r="F10" i="7"/>
  <c r="F11" i="7"/>
  <c r="F12" i="7"/>
  <c r="F13" i="7"/>
  <c r="F14" i="7"/>
  <c r="F15" i="7"/>
  <c r="F16" i="7"/>
  <c r="W2" i="6"/>
  <c r="X4" i="6" s="1"/>
  <c r="AA4" i="6" s="1"/>
  <c r="I16" i="6" s="1"/>
  <c r="C15" i="9" s="1"/>
  <c r="H6" i="7"/>
  <c r="G9" i="7" s="1"/>
  <c r="J16" i="7"/>
  <c r="J15" i="7"/>
  <c r="J14" i="7"/>
  <c r="J13" i="7"/>
  <c r="J12" i="7"/>
  <c r="J11" i="7"/>
  <c r="J10" i="7"/>
  <c r="J9" i="7"/>
  <c r="J8" i="7"/>
  <c r="J7" i="7"/>
  <c r="Q28" i="6"/>
  <c r="R35" i="6" s="1"/>
  <c r="Q15" i="6"/>
  <c r="R18" i="6" s="1"/>
  <c r="Q2" i="6"/>
  <c r="R12" i="6" s="1"/>
  <c r="T12" i="6" s="1"/>
  <c r="P30" i="6"/>
  <c r="P38" i="6"/>
  <c r="P37" i="6"/>
  <c r="P36" i="6"/>
  <c r="P35" i="6"/>
  <c r="H8" i="6" s="1"/>
  <c r="P34" i="6"/>
  <c r="H7" i="6" s="1"/>
  <c r="P33" i="6"/>
  <c r="P32" i="6"/>
  <c r="H5" i="6" s="1"/>
  <c r="P31" i="6"/>
  <c r="P25" i="6"/>
  <c r="P24" i="6"/>
  <c r="P23" i="6"/>
  <c r="P22" i="6"/>
  <c r="P21" i="6"/>
  <c r="P20" i="6"/>
  <c r="P19" i="6"/>
  <c r="G5" i="6" s="1"/>
  <c r="P18" i="6"/>
  <c r="G4" i="6" s="1"/>
  <c r="P17" i="6"/>
  <c r="P9" i="6"/>
  <c r="F8" i="6" s="1"/>
  <c r="P12" i="6"/>
  <c r="P11" i="6"/>
  <c r="P10" i="6"/>
  <c r="P8" i="6"/>
  <c r="F7" i="6" s="1"/>
  <c r="P7" i="6"/>
  <c r="P6" i="6"/>
  <c r="P5" i="6"/>
  <c r="P4" i="6"/>
  <c r="I16" i="5"/>
  <c r="H16" i="5"/>
  <c r="G16" i="5"/>
  <c r="F16" i="5"/>
  <c r="E16" i="5"/>
  <c r="F8" i="9" l="1"/>
  <c r="G8" i="10"/>
  <c r="F7" i="9"/>
  <c r="G7" i="10"/>
  <c r="G5" i="10"/>
  <c r="F5" i="9"/>
  <c r="F5" i="10"/>
  <c r="E5" i="9"/>
  <c r="F4" i="10"/>
  <c r="E4" i="9"/>
  <c r="E7" i="10"/>
  <c r="D7" i="9"/>
  <c r="E8" i="10"/>
  <c r="D8" i="9"/>
  <c r="X6" i="6"/>
  <c r="AA6" i="6" s="1"/>
  <c r="I15" i="6" s="1"/>
  <c r="C16" i="10" s="1"/>
  <c r="X5" i="6"/>
  <c r="AA5" i="6" s="1"/>
  <c r="G10" i="7"/>
  <c r="G11" i="7"/>
  <c r="G12" i="7"/>
  <c r="G13" i="7"/>
  <c r="G14" i="7"/>
  <c r="G7" i="7"/>
  <c r="G15" i="7"/>
  <c r="G8" i="7"/>
  <c r="F8" i="7" s="1"/>
  <c r="G16" i="7"/>
  <c r="R39" i="6"/>
  <c r="T39" i="6" s="1"/>
  <c r="H15" i="6" s="1"/>
  <c r="G16" i="10" s="1"/>
  <c r="R26" i="6"/>
  <c r="T26" i="6" s="1"/>
  <c r="G15" i="6" s="1"/>
  <c r="F16" i="10" s="1"/>
  <c r="R13" i="6"/>
  <c r="T13" i="6" s="1"/>
  <c r="F15" i="6" s="1"/>
  <c r="E16" i="10" s="1"/>
  <c r="F11" i="6"/>
  <c r="R19" i="6"/>
  <c r="T19" i="6" s="1"/>
  <c r="R22" i="6"/>
  <c r="T22" i="6" s="1"/>
  <c r="G8" i="6" s="1"/>
  <c r="R23" i="6"/>
  <c r="T23" i="6" s="1"/>
  <c r="G9" i="6" s="1"/>
  <c r="R24" i="6"/>
  <c r="T24" i="6" s="1"/>
  <c r="G10" i="6" s="1"/>
  <c r="R20" i="6"/>
  <c r="T20" i="6" s="1"/>
  <c r="G6" i="6" s="1"/>
  <c r="R21" i="6"/>
  <c r="T21" i="6" s="1"/>
  <c r="G7" i="6" s="1"/>
  <c r="R17" i="6"/>
  <c r="R25" i="6"/>
  <c r="T25" i="6" s="1"/>
  <c r="G11" i="6" s="1"/>
  <c r="R36" i="6"/>
  <c r="T36" i="6" s="1"/>
  <c r="H9" i="6" s="1"/>
  <c r="R37" i="6"/>
  <c r="T37" i="6" s="1"/>
  <c r="H10" i="6" s="1"/>
  <c r="R30" i="6"/>
  <c r="R31" i="6"/>
  <c r="T31" i="6" s="1"/>
  <c r="H4" i="6" s="1"/>
  <c r="R32" i="6"/>
  <c r="T32" i="6" s="1"/>
  <c r="R33" i="6"/>
  <c r="T33" i="6" s="1"/>
  <c r="H6" i="6" s="1"/>
  <c r="R38" i="6"/>
  <c r="T38" i="6" s="1"/>
  <c r="H11" i="6" s="1"/>
  <c r="R34" i="6"/>
  <c r="T34" i="6" s="1"/>
  <c r="T35" i="6"/>
  <c r="T18" i="6"/>
  <c r="R5" i="6"/>
  <c r="T5" i="6" s="1"/>
  <c r="F4" i="6" s="1"/>
  <c r="R9" i="6"/>
  <c r="T9" i="6" s="1"/>
  <c r="R6" i="6"/>
  <c r="R7" i="6"/>
  <c r="T7" i="6" s="1"/>
  <c r="F6" i="6" s="1"/>
  <c r="R10" i="6"/>
  <c r="T10" i="6" s="1"/>
  <c r="F9" i="6" s="1"/>
  <c r="R4" i="6"/>
  <c r="R8" i="6"/>
  <c r="T8" i="6" s="1"/>
  <c r="R11" i="6"/>
  <c r="T11" i="6" s="1"/>
  <c r="F10" i="6" s="1"/>
  <c r="F9" i="9" l="1"/>
  <c r="G9" i="10"/>
  <c r="F11" i="9"/>
  <c r="G11" i="10"/>
  <c r="G6" i="10"/>
  <c r="F6" i="9"/>
  <c r="F10" i="9"/>
  <c r="G10" i="10"/>
  <c r="G4" i="10"/>
  <c r="F4" i="9"/>
  <c r="E6" i="9"/>
  <c r="F6" i="10"/>
  <c r="E9" i="9"/>
  <c r="F9" i="10"/>
  <c r="E11" i="9"/>
  <c r="F11" i="10"/>
  <c r="K7" i="6"/>
  <c r="G7" i="9" s="1"/>
  <c r="F7" i="10"/>
  <c r="E7" i="9"/>
  <c r="E10" i="9"/>
  <c r="F10" i="10"/>
  <c r="K8" i="6"/>
  <c r="D8" i="10" s="1"/>
  <c r="F8" i="10"/>
  <c r="E8" i="9"/>
  <c r="D4" i="9"/>
  <c r="E4" i="10"/>
  <c r="E10" i="10"/>
  <c r="D10" i="9"/>
  <c r="D11" i="9"/>
  <c r="E11" i="10"/>
  <c r="D9" i="9"/>
  <c r="E9" i="10"/>
  <c r="D6" i="9"/>
  <c r="E6" i="10"/>
  <c r="T6" i="6"/>
  <c r="F5" i="6" s="1"/>
  <c r="X2" i="6"/>
  <c r="T4" i="6"/>
  <c r="F3" i="6" s="1"/>
  <c r="R2" i="6"/>
  <c r="T30" i="6"/>
  <c r="H3" i="6" s="1"/>
  <c r="R28" i="6"/>
  <c r="T17" i="6"/>
  <c r="G3" i="6" s="1"/>
  <c r="R15" i="6"/>
  <c r="K6" i="6"/>
  <c r="K9" i="6"/>
  <c r="K11" i="6"/>
  <c r="K10" i="6"/>
  <c r="K4" i="6"/>
  <c r="F3" i="9" l="1"/>
  <c r="G3" i="10"/>
  <c r="D7" i="10"/>
  <c r="G8" i="9"/>
  <c r="E3" i="9"/>
  <c r="F3" i="10"/>
  <c r="G11" i="9"/>
  <c r="D11" i="10"/>
  <c r="K5" i="6"/>
  <c r="E5" i="10"/>
  <c r="D5" i="9"/>
  <c r="D9" i="10"/>
  <c r="G9" i="9"/>
  <c r="D6" i="10"/>
  <c r="G6" i="9"/>
  <c r="D4" i="10"/>
  <c r="G4" i="9"/>
  <c r="D10" i="10"/>
  <c r="G10" i="9"/>
  <c r="D3" i="9"/>
  <c r="E3" i="10"/>
  <c r="J5" i="7"/>
  <c r="I17" i="6" s="1"/>
  <c r="J3" i="11" s="1"/>
  <c r="I5" i="7"/>
  <c r="I14" i="6" s="1"/>
  <c r="K3" i="6"/>
  <c r="I18" i="6" l="1"/>
  <c r="C16" i="9" s="1"/>
  <c r="G5" i="9"/>
  <c r="D5" i="10"/>
  <c r="D3" i="10"/>
  <c r="G3" i="9"/>
  <c r="C14" i="9"/>
  <c r="C17" i="10"/>
  <c r="C18" i="10" l="1"/>
  <c r="J25" i="11"/>
  <c r="L25" i="11" s="1"/>
  <c r="M25" i="11" s="1"/>
  <c r="J21" i="11"/>
  <c r="L21" i="11" s="1"/>
  <c r="M21" i="11" s="1"/>
  <c r="J10" i="11"/>
  <c r="L10" i="11" s="1"/>
  <c r="M10" i="11" s="1"/>
  <c r="J7" i="11"/>
  <c r="L7" i="11" s="1"/>
  <c r="M7" i="11" s="1"/>
  <c r="J13" i="11"/>
  <c r="L13" i="11" s="1"/>
  <c r="M13" i="11" s="1"/>
  <c r="J24" i="11"/>
  <c r="L24" i="11" s="1"/>
  <c r="J8" i="11"/>
  <c r="L8" i="11" s="1"/>
  <c r="M8" i="11" s="1"/>
  <c r="J20" i="11"/>
  <c r="L20" i="11" s="1"/>
  <c r="M20" i="11" s="1"/>
  <c r="J23" i="11"/>
  <c r="L23" i="11" s="1"/>
  <c r="J18" i="11"/>
  <c r="L18" i="11" s="1"/>
  <c r="M18" i="11" s="1"/>
  <c r="J19" i="11"/>
  <c r="L19" i="11" s="1"/>
  <c r="M19" i="11" s="1"/>
  <c r="J22" i="11"/>
  <c r="L22" i="11" s="1"/>
  <c r="J6" i="11"/>
  <c r="L6" i="11" s="1"/>
  <c r="M6" i="11" s="1"/>
  <c r="J11" i="11"/>
  <c r="L11" i="11" s="1"/>
  <c r="M11" i="11" s="1"/>
  <c r="J5" i="11"/>
  <c r="L5" i="11" s="1"/>
  <c r="M5" i="11" s="1"/>
  <c r="J9" i="11"/>
  <c r="L9" i="11" s="1"/>
  <c r="M9" i="11" s="1"/>
  <c r="J12" i="11"/>
  <c r="L12" i="11" s="1"/>
  <c r="M23" i="11" s="1"/>
  <c r="J14" i="11"/>
  <c r="L14" i="11" s="1"/>
  <c r="M14" i="11" s="1"/>
  <c r="M12" i="11" l="1"/>
</calcChain>
</file>

<file path=xl/sharedStrings.xml><?xml version="1.0" encoding="utf-8"?>
<sst xmlns="http://schemas.openxmlformats.org/spreadsheetml/2006/main" count="8568" uniqueCount="147">
  <si>
    <t>head</t>
  </si>
  <si>
    <t>torso</t>
  </si>
  <si>
    <t>right arm</t>
  </si>
  <si>
    <t>left arm</t>
  </si>
  <si>
    <t>legs</t>
  </si>
  <si>
    <t>Targetting Distance</t>
  </si>
  <si>
    <t>Targetting Lock Time</t>
  </si>
  <si>
    <t>Damage</t>
  </si>
  <si>
    <t>Armor</t>
  </si>
  <si>
    <t>Shields</t>
  </si>
  <si>
    <t>%ranged hit</t>
  </si>
  <si>
    <t>%melee hit</t>
  </si>
  <si>
    <t>Hull</t>
  </si>
  <si>
    <t>Speed</t>
  </si>
  <si>
    <t>Heat</t>
  </si>
  <si>
    <t>Coolant</t>
  </si>
  <si>
    <t>x</t>
  </si>
  <si>
    <t xml:space="preserve">Bounce </t>
  </si>
  <si>
    <t>Action Tags</t>
  </si>
  <si>
    <t>Targetted</t>
  </si>
  <si>
    <t>Grapple</t>
  </si>
  <si>
    <t>Melee</t>
  </si>
  <si>
    <t>Ranged</t>
  </si>
  <si>
    <t>Stat boost</t>
  </si>
  <si>
    <t>Rolls</t>
  </si>
  <si>
    <t>Normalized Rolls</t>
  </si>
  <si>
    <t>Budget</t>
  </si>
  <si>
    <t>Score</t>
  </si>
  <si>
    <t>Meta Flag</t>
  </si>
  <si>
    <t>Actual Flag</t>
  </si>
  <si>
    <t>Flag Roll</t>
  </si>
  <si>
    <t>Ranged Accuracy</t>
  </si>
  <si>
    <t>Melee Accuracy</t>
  </si>
  <si>
    <t>Turning radius</t>
  </si>
  <si>
    <t>Mech Stats</t>
  </si>
  <si>
    <t>Part Stats</t>
  </si>
  <si>
    <t>Heal</t>
  </si>
  <si>
    <t>Action Type</t>
  </si>
  <si>
    <t>Aoe Column</t>
  </si>
  <si>
    <t>Aoe Circle</t>
  </si>
  <si>
    <t>Damage Mod</t>
  </si>
  <si>
    <t>Baseline Mech</t>
  </si>
  <si>
    <t>(melee only)</t>
  </si>
  <si>
    <t>(ranged only)</t>
  </si>
  <si>
    <t>Head</t>
  </si>
  <si>
    <t>Total</t>
  </si>
  <si>
    <t>Heat / Use</t>
  </si>
  <si>
    <t>all damage reduction</t>
  </si>
  <si>
    <t>energy damage absorb total mech (regen fixed percent of total)</t>
  </si>
  <si>
    <t>Shield</t>
  </si>
  <si>
    <t>Rotation Speed</t>
  </si>
  <si>
    <t>Move Speed</t>
  </si>
  <si>
    <t>Ability Trigger</t>
  </si>
  <si>
    <t>heat reduction rate /time</t>
  </si>
  <si>
    <t>20/100</t>
  </si>
  <si>
    <t>heat per minimum move distance</t>
  </si>
  <si>
    <t>Torso</t>
  </si>
  <si>
    <t>Legs</t>
  </si>
  <si>
    <t>/second</t>
  </si>
  <si>
    <t>seconds</t>
  </si>
  <si>
    <t>Range Type</t>
  </si>
  <si>
    <t>Energy Damage</t>
  </si>
  <si>
    <t>Physical Damage</t>
  </si>
  <si>
    <t>Turn Speed</t>
  </si>
  <si>
    <t>Right Arm</t>
  </si>
  <si>
    <t>Left Arm</t>
  </si>
  <si>
    <t>Targetted Melee Physical</t>
  </si>
  <si>
    <t>Targetted Melee Energy</t>
  </si>
  <si>
    <t>Targetted Ranged Energy</t>
  </si>
  <si>
    <t>Targetted Ranged Projectile</t>
  </si>
  <si>
    <t>Bounce Ranged Projectile</t>
  </si>
  <si>
    <t>Bounce Ranged Energy</t>
  </si>
  <si>
    <t>DmgX</t>
  </si>
  <si>
    <t>Self Heal</t>
  </si>
  <si>
    <t>Grappler</t>
  </si>
  <si>
    <t>Speed Boost</t>
  </si>
  <si>
    <t>Plant Bomb</t>
  </si>
  <si>
    <t>Melee Stunner</t>
  </si>
  <si>
    <t>Invisibilty</t>
  </si>
  <si>
    <t>Circle (Aoe) Melee Physical</t>
  </si>
  <si>
    <t>Circle (Aoe) Melee Energy</t>
  </si>
  <si>
    <t>Column (Aoe) Ranged Energy</t>
  </si>
  <si>
    <t>Column (Aoe) Ranged Projectile</t>
  </si>
  <si>
    <t>indestructable</t>
  </si>
  <si>
    <t>o</t>
  </si>
  <si>
    <t>path</t>
  </si>
  <si>
    <t>h</t>
  </si>
  <si>
    <t>half wall</t>
  </si>
  <si>
    <t>d</t>
  </si>
  <si>
    <t>destructible</t>
  </si>
  <si>
    <t>s</t>
  </si>
  <si>
    <t>spawn</t>
  </si>
  <si>
    <t>tiles</t>
  </si>
  <si>
    <t>heat/second</t>
  </si>
  <si>
    <t>Mech</t>
  </si>
  <si>
    <t>GUI</t>
  </si>
  <si>
    <t>Type</t>
  </si>
  <si>
    <t>Effect</t>
  </si>
  <si>
    <t>Not Equipped</t>
  </si>
  <si>
    <t>heat</t>
  </si>
  <si>
    <t>hull</t>
  </si>
  <si>
    <t>No Equip</t>
  </si>
  <si>
    <t>Targetted Grapple</t>
  </si>
  <si>
    <t>Targetted Slow</t>
  </si>
  <si>
    <t>Targetted Heat</t>
  </si>
  <si>
    <t>Self Speed Boost</t>
  </si>
  <si>
    <t>Targetted Homing Missile</t>
  </si>
  <si>
    <t>Mods</t>
  </si>
  <si>
    <t>Formula</t>
  </si>
  <si>
    <t>Units</t>
  </si>
  <si>
    <t>SubScore</t>
  </si>
  <si>
    <t xml:space="preserve">Plant Bomb </t>
  </si>
  <si>
    <t>Seconds</t>
  </si>
  <si>
    <t>Distance</t>
  </si>
  <si>
    <t>Heat Damage</t>
  </si>
  <si>
    <t>Speed Mult</t>
  </si>
  <si>
    <t>Gustavel Mk.IV</t>
  </si>
  <si>
    <t>Wilson Interceptor</t>
  </si>
  <si>
    <t>Blahuta Platform</t>
  </si>
  <si>
    <t>???</t>
  </si>
  <si>
    <t xml:space="preserve">Hull </t>
  </si>
  <si>
    <t>hex is set map</t>
  </si>
  <si>
    <t>bonuses for tile capture per tile?</t>
  </si>
  <si>
    <t>flavor map?</t>
  </si>
  <si>
    <t>holes?</t>
  </si>
  <si>
    <t>win condition?</t>
  </si>
  <si>
    <t>bonuses for surrounding tiles &lt;- lives</t>
  </si>
  <si>
    <t>castles or some shit (go complex)</t>
  </si>
  <si>
    <t>mech avatar?</t>
  </si>
  <si>
    <t>new idea</t>
  </si>
  <si>
    <t>lives as pickup</t>
  </si>
  <si>
    <t>rain</t>
  </si>
  <si>
    <t>dust storm</t>
  </si>
  <si>
    <t>snow</t>
  </si>
  <si>
    <t>etc</t>
  </si>
  <si>
    <t>map effects globally applied</t>
  </si>
  <si>
    <t>double heat</t>
  </si>
  <si>
    <t>reduce speed</t>
  </si>
  <si>
    <t>lots of crates</t>
  </si>
  <si>
    <t>reduce targetting</t>
  </si>
  <si>
    <t>insta crate drops near you (per type)</t>
  </si>
  <si>
    <t>pickup / points only if winner gets it</t>
  </si>
  <si>
    <t>half points if constestor?</t>
  </si>
  <si>
    <t>pickups, but not points???</t>
  </si>
  <si>
    <t>periodic damage</t>
  </si>
  <si>
    <t>Type Williams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</si>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</sst>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rgb="FF00C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0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5" xfId="0" applyFill="1" applyBorder="1"/>
    <xf numFmtId="0" fontId="4" fillId="0" borderId="0" xfId="0" applyFont="1"/>
    <xf numFmtId="0" fontId="0" fillId="0" borderId="11" xfId="0" applyBorder="1"/>
    <xf numFmtId="0" fontId="0" fillId="0" borderId="2" xfId="0" applyFill="1" applyBorder="1"/>
    <xf numFmtId="0" fontId="0" fillId="0" borderId="7" xfId="0" applyFill="1" applyBorder="1"/>
    <xf numFmtId="0" fontId="0" fillId="0" borderId="18" xfId="0" applyFill="1" applyBorder="1"/>
    <xf numFmtId="0" fontId="0" fillId="0" borderId="21" xfId="0" applyFill="1" applyBorder="1"/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8" xfId="0" applyFill="1" applyBorder="1" applyAlignment="1"/>
    <xf numFmtId="0" fontId="4" fillId="0" borderId="0" xfId="0" applyFont="1" applyAlignment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/>
    <xf numFmtId="0" fontId="0" fillId="0" borderId="1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2" fillId="2" borderId="1" xfId="0" applyFont="1" applyFill="1" applyBorder="1"/>
    <xf numFmtId="0" fontId="0" fillId="0" borderId="0" xfId="0" applyAlignment="1">
      <alignment horizontal="left"/>
    </xf>
    <xf numFmtId="0" fontId="2" fillId="2" borderId="24" xfId="0" applyFont="1" applyFill="1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2" fillId="2" borderId="21" xfId="0" applyFont="1" applyFill="1" applyBorder="1" applyAlignment="1"/>
    <xf numFmtId="0" fontId="0" fillId="0" borderId="1" xfId="0" applyBorder="1"/>
    <xf numFmtId="2" fontId="0" fillId="0" borderId="10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4" fillId="0" borderId="0" xfId="0" applyFont="1" applyFill="1" applyBorder="1"/>
    <xf numFmtId="2" fontId="0" fillId="5" borderId="14" xfId="0" applyNumberFormat="1" applyFill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9" fontId="0" fillId="5" borderId="14" xfId="1" applyFont="1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0" fillId="0" borderId="2" xfId="0" applyFill="1" applyBorder="1" applyAlignment="1"/>
    <xf numFmtId="0" fontId="0" fillId="0" borderId="15" xfId="0" applyFill="1" applyBorder="1"/>
    <xf numFmtId="0" fontId="0" fillId="0" borderId="29" xfId="0" applyFill="1" applyBorder="1"/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5" fillId="4" borderId="21" xfId="0" applyFont="1" applyFill="1" applyBorder="1" applyAlignment="1">
      <alignment horizontal="center"/>
    </xf>
    <xf numFmtId="0" fontId="5" fillId="4" borderId="22" xfId="0" applyFont="1" applyFill="1" applyBorder="1" applyAlignment="1">
      <alignment horizontal="center"/>
    </xf>
    <xf numFmtId="0" fontId="5" fillId="4" borderId="23" xfId="0" applyFont="1" applyFill="1" applyBorder="1" applyAlignment="1">
      <alignment horizontal="center"/>
    </xf>
    <xf numFmtId="0" fontId="0" fillId="0" borderId="0" xfId="0" applyFill="1" applyBorder="1"/>
    <xf numFmtId="2" fontId="0" fillId="0" borderId="1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2" fontId="0" fillId="5" borderId="27" xfId="0" applyNumberFormat="1" applyFill="1" applyBorder="1" applyAlignment="1">
      <alignment horizontal="center"/>
    </xf>
    <xf numFmtId="0" fontId="2" fillId="3" borderId="10" xfId="0" applyFont="1" applyFill="1" applyBorder="1" applyAlignment="1"/>
    <xf numFmtId="0" fontId="2" fillId="3" borderId="14" xfId="0" applyFont="1" applyFill="1" applyBorder="1"/>
    <xf numFmtId="0" fontId="2" fillId="3" borderId="27" xfId="0" applyFont="1" applyFill="1" applyBorder="1"/>
    <xf numFmtId="0" fontId="2" fillId="3" borderId="28" xfId="0" applyFont="1" applyFill="1" applyBorder="1"/>
    <xf numFmtId="2" fontId="0" fillId="5" borderId="28" xfId="0" applyNumberFormat="1" applyFill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9" fontId="0" fillId="5" borderId="10" xfId="1" applyFont="1" applyFill="1" applyBorder="1" applyAlignment="1">
      <alignment horizontal="center"/>
    </xf>
    <xf numFmtId="0" fontId="0" fillId="0" borderId="42" xfId="0" applyFill="1" applyBorder="1"/>
    <xf numFmtId="0" fontId="3" fillId="4" borderId="1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44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0" xfId="0" applyFill="1" applyBorder="1"/>
    <xf numFmtId="0" fontId="0" fillId="3" borderId="31" xfId="0" applyFill="1" applyBorder="1"/>
    <xf numFmtId="0" fontId="5" fillId="4" borderId="0" xfId="0" applyFont="1" applyFill="1" applyBorder="1" applyAlignment="1">
      <alignment horizontal="center"/>
    </xf>
    <xf numFmtId="9" fontId="0" fillId="0" borderId="44" xfId="1" applyFont="1" applyBorder="1" applyAlignment="1">
      <alignment horizontal="center"/>
    </xf>
    <xf numFmtId="9" fontId="0" fillId="0" borderId="32" xfId="1" applyFont="1" applyBorder="1" applyAlignment="1">
      <alignment horizontal="center"/>
    </xf>
    <xf numFmtId="9" fontId="0" fillId="0" borderId="45" xfId="1" applyFont="1" applyBorder="1" applyAlignment="1"/>
    <xf numFmtId="9" fontId="0" fillId="0" borderId="46" xfId="1" applyFont="1" applyBorder="1" applyAlignment="1"/>
    <xf numFmtId="9" fontId="0" fillId="0" borderId="33" xfId="1" applyFont="1" applyBorder="1"/>
    <xf numFmtId="9" fontId="0" fillId="0" borderId="34" xfId="1" applyFont="1" applyBorder="1"/>
    <xf numFmtId="2" fontId="0" fillId="0" borderId="33" xfId="0" applyNumberFormat="1" applyBorder="1"/>
    <xf numFmtId="2" fontId="0" fillId="0" borderId="34" xfId="0" applyNumberFormat="1" applyBorder="1"/>
    <xf numFmtId="2" fontId="0" fillId="0" borderId="49" xfId="0" applyNumberFormat="1" applyFill="1" applyBorder="1"/>
    <xf numFmtId="9" fontId="3" fillId="5" borderId="10" xfId="1" applyFont="1" applyFill="1" applyBorder="1" applyAlignment="1">
      <alignment horizontal="center"/>
    </xf>
    <xf numFmtId="1" fontId="3" fillId="0" borderId="10" xfId="0" applyNumberFormat="1" applyFont="1" applyBorder="1" applyAlignment="1">
      <alignment horizontal="center"/>
    </xf>
    <xf numFmtId="2" fontId="3" fillId="0" borderId="10" xfId="0" applyNumberFormat="1" applyFont="1" applyBorder="1" applyAlignment="1">
      <alignment horizontal="center"/>
    </xf>
    <xf numFmtId="2" fontId="0" fillId="0" borderId="50" xfId="0" applyNumberFormat="1" applyFill="1" applyBorder="1"/>
    <xf numFmtId="2" fontId="0" fillId="0" borderId="45" xfId="0" applyNumberFormat="1" applyFill="1" applyBorder="1"/>
    <xf numFmtId="9" fontId="0" fillId="0" borderId="24" xfId="0" applyNumberFormat="1" applyBorder="1" applyAlignment="1">
      <alignment horizontal="center"/>
    </xf>
    <xf numFmtId="9" fontId="0" fillId="0" borderId="28" xfId="1" applyFont="1" applyBorder="1" applyAlignment="1">
      <alignment horizontal="center"/>
    </xf>
    <xf numFmtId="1" fontId="0" fillId="0" borderId="24" xfId="0" applyNumberFormat="1" applyFill="1" applyBorder="1" applyAlignment="1">
      <alignment horizontal="center"/>
    </xf>
    <xf numFmtId="2" fontId="0" fillId="0" borderId="24" xfId="0" applyNumberFormat="1" applyFill="1" applyBorder="1" applyAlignment="1">
      <alignment horizontal="center"/>
    </xf>
    <xf numFmtId="2" fontId="0" fillId="0" borderId="26" xfId="0" applyNumberFormat="1" applyFill="1" applyBorder="1" applyAlignment="1">
      <alignment horizontal="center"/>
    </xf>
    <xf numFmtId="2" fontId="0" fillId="0" borderId="46" xfId="0" applyNumberFormat="1" applyFill="1" applyBorder="1"/>
    <xf numFmtId="2" fontId="0" fillId="0" borderId="45" xfId="0" applyNumberFormat="1" applyFill="1" applyBorder="1" applyAlignment="1"/>
    <xf numFmtId="2" fontId="0" fillId="0" borderId="36" xfId="0" applyNumberFormat="1" applyBorder="1"/>
    <xf numFmtId="2" fontId="0" fillId="0" borderId="37" xfId="0" applyNumberFormat="1" applyBorder="1"/>
    <xf numFmtId="2" fontId="0" fillId="0" borderId="46" xfId="0" applyNumberFormat="1" applyFill="1" applyBorder="1" applyAlignment="1"/>
    <xf numFmtId="2" fontId="0" fillId="0" borderId="36" xfId="0" applyNumberFormat="1" applyFill="1" applyBorder="1"/>
    <xf numFmtId="2" fontId="0" fillId="0" borderId="37" xfId="0" applyNumberFormat="1" applyFill="1" applyBorder="1"/>
    <xf numFmtId="0" fontId="2" fillId="2" borderId="22" xfId="0" applyFont="1" applyFill="1" applyBorder="1" applyAlignment="1"/>
    <xf numFmtId="0" fontId="2" fillId="2" borderId="23" xfId="0" applyFont="1" applyFill="1" applyBorder="1" applyAlignment="1"/>
    <xf numFmtId="1" fontId="0" fillId="0" borderId="25" xfId="0" applyNumberFormat="1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2" fontId="0" fillId="0" borderId="51" xfId="0" applyNumberFormat="1" applyFill="1" applyBorder="1"/>
    <xf numFmtId="2" fontId="0" fillId="0" borderId="52" xfId="0" applyNumberFormat="1" applyFill="1" applyBorder="1"/>
    <xf numFmtId="1" fontId="0" fillId="0" borderId="1" xfId="0" applyNumberFormat="1" applyFill="1" applyBorder="1" applyAlignment="1">
      <alignment horizontal="center"/>
    </xf>
    <xf numFmtId="0" fontId="0" fillId="0" borderId="42" xfId="0" applyBorder="1"/>
    <xf numFmtId="0" fontId="0" fillId="0" borderId="38" xfId="0" applyBorder="1" applyAlignment="1">
      <alignment horizontal="center"/>
    </xf>
    <xf numFmtId="0" fontId="0" fillId="0" borderId="39" xfId="0" applyBorder="1"/>
    <xf numFmtId="0" fontId="2" fillId="3" borderId="26" xfId="0" applyFont="1" applyFill="1" applyBorder="1"/>
    <xf numFmtId="1" fontId="0" fillId="0" borderId="26" xfId="0" applyNumberFormat="1" applyFill="1" applyBorder="1" applyAlignment="1">
      <alignment horizontal="center"/>
    </xf>
    <xf numFmtId="2" fontId="0" fillId="5" borderId="26" xfId="0" applyNumberFormat="1" applyFill="1" applyBorder="1" applyAlignment="1">
      <alignment horizontal="center"/>
    </xf>
    <xf numFmtId="0" fontId="0" fillId="0" borderId="24" xfId="0" applyBorder="1" applyAlignment="1">
      <alignment horizontal="left"/>
    </xf>
    <xf numFmtId="1" fontId="0" fillId="0" borderId="39" xfId="0" applyNumberFormat="1" applyBorder="1"/>
    <xf numFmtId="0" fontId="0" fillId="3" borderId="2" xfId="0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 applyAlignment="1">
      <alignment horizontal="center"/>
    </xf>
    <xf numFmtId="0" fontId="0" fillId="3" borderId="6" xfId="0" applyFill="1" applyBorder="1"/>
    <xf numFmtId="0" fontId="0" fillId="3" borderId="7" xfId="0" applyFill="1" applyBorder="1" applyAlignment="1">
      <alignment horizontal="center"/>
    </xf>
    <xf numFmtId="0" fontId="0" fillId="3" borderId="9" xfId="0" applyFill="1" applyBorder="1"/>
    <xf numFmtId="0" fontId="0" fillId="3" borderId="41" xfId="0" applyFill="1" applyBorder="1" applyAlignment="1">
      <alignment horizontal="center"/>
    </xf>
    <xf numFmtId="0" fontId="0" fillId="3" borderId="42" xfId="0" applyFill="1" applyBorder="1"/>
    <xf numFmtId="0" fontId="0" fillId="3" borderId="43" xfId="0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2" fontId="0" fillId="0" borderId="22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1" fontId="0" fillId="5" borderId="10" xfId="1" applyNumberFormat="1" applyFont="1" applyFill="1" applyBorder="1" applyAlignment="1">
      <alignment horizontal="center"/>
    </xf>
    <xf numFmtId="0" fontId="0" fillId="0" borderId="29" xfId="0" applyBorder="1"/>
    <xf numFmtId="1" fontId="0" fillId="0" borderId="42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36" xfId="0" applyNumberFormat="1" applyBorder="1"/>
    <xf numFmtId="9" fontId="0" fillId="0" borderId="24" xfId="1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9" fontId="0" fillId="0" borderId="4" xfId="1" applyFont="1" applyBorder="1" applyAlignment="1">
      <alignment horizontal="center"/>
    </xf>
    <xf numFmtId="9" fontId="0" fillId="0" borderId="1" xfId="1" applyFont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2" fontId="0" fillId="0" borderId="21" xfId="0" applyNumberFormat="1" applyFill="1" applyBorder="1" applyAlignment="1">
      <alignment horizontal="center"/>
    </xf>
    <xf numFmtId="2" fontId="0" fillId="0" borderId="22" xfId="0" applyNumberFormat="1" applyFill="1" applyBorder="1" applyAlignment="1">
      <alignment horizontal="center"/>
    </xf>
    <xf numFmtId="2" fontId="0" fillId="0" borderId="6" xfId="0" applyNumberFormat="1" applyFill="1" applyBorder="1" applyAlignment="1">
      <alignment horizontal="center"/>
    </xf>
    <xf numFmtId="2" fontId="0" fillId="0" borderId="9" xfId="0" applyNumberFormat="1" applyFill="1" applyBorder="1" applyAlignment="1">
      <alignment horizontal="center"/>
    </xf>
    <xf numFmtId="2" fontId="0" fillId="0" borderId="25" xfId="0" applyNumberFormat="1" applyFill="1" applyBorder="1" applyAlignment="1">
      <alignment horizontal="center"/>
    </xf>
    <xf numFmtId="0" fontId="5" fillId="4" borderId="21" xfId="0" applyFont="1" applyFill="1" applyBorder="1" applyAlignment="1">
      <alignment horizontal="center" wrapText="1"/>
    </xf>
    <xf numFmtId="9" fontId="0" fillId="0" borderId="25" xfId="1" applyFont="1" applyBorder="1" applyAlignment="1">
      <alignment horizontal="center"/>
    </xf>
    <xf numFmtId="2" fontId="0" fillId="0" borderId="5" xfId="0" applyNumberFormat="1" applyFill="1" applyBorder="1" applyAlignment="1">
      <alignment horizontal="center"/>
    </xf>
    <xf numFmtId="2" fontId="0" fillId="0" borderId="7" xfId="0" applyNumberFormat="1" applyFill="1" applyBorder="1" applyAlignment="1">
      <alignment horizontal="center"/>
    </xf>
    <xf numFmtId="9" fontId="0" fillId="0" borderId="3" xfId="1" applyFon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25" xfId="0" applyFill="1" applyBorder="1"/>
    <xf numFmtId="0" fontId="0" fillId="6" borderId="25" xfId="0" applyFill="1" applyBorder="1"/>
    <xf numFmtId="0" fontId="2" fillId="4" borderId="23" xfId="0" applyFont="1" applyFill="1" applyBorder="1"/>
    <xf numFmtId="9" fontId="0" fillId="6" borderId="24" xfId="1" applyFont="1" applyFill="1" applyBorder="1" applyAlignment="1">
      <alignment horizontal="center"/>
    </xf>
    <xf numFmtId="9" fontId="0" fillId="6" borderId="25" xfId="1" applyFont="1" applyFill="1" applyBorder="1" applyAlignment="1">
      <alignment horizontal="center"/>
    </xf>
    <xf numFmtId="1" fontId="0" fillId="6" borderId="25" xfId="0" applyNumberFormat="1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2" fontId="0" fillId="6" borderId="25" xfId="0" applyNumberFormat="1" applyFill="1" applyBorder="1" applyAlignment="1">
      <alignment horizontal="center"/>
    </xf>
    <xf numFmtId="2" fontId="0" fillId="6" borderId="26" xfId="0" applyNumberFormat="1" applyFill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2" xfId="0" applyFill="1" applyBorder="1" applyAlignment="1">
      <alignment horizontal="right"/>
    </xf>
    <xf numFmtId="0" fontId="0" fillId="0" borderId="5" xfId="0" applyFill="1" applyBorder="1" applyAlignment="1">
      <alignment horizontal="right"/>
    </xf>
    <xf numFmtId="0" fontId="0" fillId="0" borderId="7" xfId="0" applyFill="1" applyBorder="1" applyAlignment="1">
      <alignment horizontal="right"/>
    </xf>
    <xf numFmtId="0" fontId="0" fillId="0" borderId="21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1" xfId="0" applyBorder="1" applyAlignment="1"/>
    <xf numFmtId="0" fontId="0" fillId="0" borderId="5" xfId="0" applyBorder="1" applyAlignment="1"/>
    <xf numFmtId="0" fontId="0" fillId="0" borderId="0" xfId="0" applyBorder="1" applyAlignment="1"/>
    <xf numFmtId="0" fontId="0" fillId="0" borderId="0" xfId="0" applyBorder="1" applyAlignment="1">
      <alignment horizontal="left"/>
    </xf>
    <xf numFmtId="1" fontId="0" fillId="0" borderId="0" xfId="0" applyNumberFormat="1" applyFill="1" applyBorder="1" applyAlignment="1">
      <alignment horizontal="left"/>
    </xf>
    <xf numFmtId="0" fontId="5" fillId="4" borderId="3" xfId="0" applyFont="1" applyFill="1" applyBorder="1" applyAlignment="1">
      <alignment horizontal="center"/>
    </xf>
    <xf numFmtId="0" fontId="0" fillId="0" borderId="0" xfId="0" applyAlignment="1">
      <alignment horizontal="right"/>
    </xf>
    <xf numFmtId="2" fontId="0" fillId="0" borderId="3" xfId="0" applyNumberFormat="1" applyBorder="1" applyAlignment="1">
      <alignment horizontal="center"/>
    </xf>
    <xf numFmtId="2" fontId="0" fillId="0" borderId="8" xfId="0" applyNumberFormat="1" applyFill="1" applyBorder="1" applyAlignment="1">
      <alignment horizontal="center"/>
    </xf>
    <xf numFmtId="0" fontId="0" fillId="0" borderId="24" xfId="0" applyBorder="1" applyAlignment="1">
      <alignment horizontal="right"/>
    </xf>
    <xf numFmtId="0" fontId="0" fillId="0" borderId="28" xfId="0" applyBorder="1" applyAlignment="1">
      <alignment horizontal="right"/>
    </xf>
    <xf numFmtId="0" fontId="0" fillId="0" borderId="25" xfId="0" applyBorder="1" applyAlignment="1">
      <alignment horizontal="right"/>
    </xf>
    <xf numFmtId="0" fontId="0" fillId="0" borderId="24" xfId="0" applyFill="1" applyBorder="1" applyAlignment="1">
      <alignment horizontal="right"/>
    </xf>
    <xf numFmtId="0" fontId="0" fillId="0" borderId="25" xfId="0" applyFill="1" applyBorder="1" applyAlignment="1">
      <alignment horizontal="right"/>
    </xf>
    <xf numFmtId="0" fontId="0" fillId="0" borderId="26" xfId="0" applyFill="1" applyBorder="1" applyAlignment="1">
      <alignment horizontal="right"/>
    </xf>
    <xf numFmtId="0" fontId="0" fillId="0" borderId="1" xfId="0" applyFill="1" applyBorder="1" applyAlignment="1">
      <alignment horizontal="right"/>
    </xf>
    <xf numFmtId="0" fontId="0" fillId="0" borderId="4" xfId="0" applyBorder="1"/>
    <xf numFmtId="0" fontId="5" fillId="4" borderId="4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4" fillId="7" borderId="8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9" fontId="0" fillId="0" borderId="0" xfId="0" applyNumberFormat="1"/>
    <xf numFmtId="0" fontId="0" fillId="6" borderId="24" xfId="0" applyFill="1" applyBorder="1"/>
    <xf numFmtId="0" fontId="0" fillId="0" borderId="0" xfId="0" applyAlignment="1"/>
    <xf numFmtId="1" fontId="0" fillId="0" borderId="0" xfId="0" applyNumberFormat="1" applyAlignment="1"/>
    <xf numFmtId="164" fontId="0" fillId="0" borderId="0" xfId="0" applyNumberFormat="1" applyAlignment="1"/>
    <xf numFmtId="1" fontId="0" fillId="0" borderId="1" xfId="0" applyNumberFormat="1" applyBorder="1" applyAlignment="1"/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9" fontId="0" fillId="0" borderId="6" xfId="0" applyNumberFormat="1" applyBorder="1"/>
    <xf numFmtId="0" fontId="0" fillId="0" borderId="24" xfId="0" applyBorder="1" applyAlignment="1"/>
    <xf numFmtId="0" fontId="0" fillId="0" borderId="28" xfId="0" applyBorder="1"/>
    <xf numFmtId="0" fontId="0" fillId="0" borderId="24" xfId="0" applyFill="1" applyBorder="1" applyAlignment="1"/>
    <xf numFmtId="0" fontId="0" fillId="0" borderId="24" xfId="0" applyFill="1" applyBorder="1"/>
    <xf numFmtId="0" fontId="0" fillId="0" borderId="26" xfId="0" applyFill="1" applyBorder="1"/>
    <xf numFmtId="0" fontId="0" fillId="0" borderId="1" xfId="0" applyFill="1" applyBorder="1"/>
    <xf numFmtId="0" fontId="0" fillId="0" borderId="25" xfId="0" applyBorder="1" applyAlignment="1"/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center"/>
    </xf>
    <xf numFmtId="9" fontId="0" fillId="0" borderId="4" xfId="0" applyNumberFormat="1" applyBorder="1"/>
    <xf numFmtId="0" fontId="0" fillId="9" borderId="0" xfId="0" applyFill="1"/>
    <xf numFmtId="0" fontId="0" fillId="10" borderId="0" xfId="0" applyFill="1"/>
    <xf numFmtId="0" fontId="7" fillId="8" borderId="0" xfId="0" applyFont="1" applyFill="1" applyAlignment="1">
      <alignment horizontal="center"/>
    </xf>
    <xf numFmtId="0" fontId="8" fillId="9" borderId="0" xfId="0" applyFont="1" applyFill="1" applyAlignment="1">
      <alignment horizontal="center"/>
    </xf>
    <xf numFmtId="0" fontId="6" fillId="11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336"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colors>
    <mruColors>
      <color rgb="FF008000"/>
      <color rgb="FF00C000"/>
      <color rgb="FFC80000"/>
      <color rgb="FFC00000"/>
      <color rgb="FF800000"/>
      <color rgb="FF00FF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1038225</xdr:colOff>
      <xdr:row>1</xdr:row>
      <xdr:rowOff>47625</xdr:rowOff>
    </xdr:from>
    <xdr:to>
      <xdr:col>12</xdr:col>
      <xdr:colOff>1895475</xdr:colOff>
      <xdr:row>2</xdr:row>
      <xdr:rowOff>180976</xdr:rowOff>
    </xdr:to>
    <xdr:sp macro="[0]!RollHead" textlink="">
      <xdr:nvSpPr>
        <xdr:cNvPr id="2" name="Rectangle 1"/>
        <xdr:cNvSpPr/>
      </xdr:nvSpPr>
      <xdr:spPr>
        <a:xfrm>
          <a:off x="9020175" y="2476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Head</a:t>
          </a:r>
        </a:p>
      </xdr:txBody>
    </xdr:sp>
    <xdr:clientData/>
  </xdr:twoCellAnchor>
  <xdr:twoCellAnchor>
    <xdr:from>
      <xdr:col>12</xdr:col>
      <xdr:colOff>1038225</xdr:colOff>
      <xdr:row>14</xdr:row>
      <xdr:rowOff>47625</xdr:rowOff>
    </xdr:from>
    <xdr:to>
      <xdr:col>12</xdr:col>
      <xdr:colOff>1895475</xdr:colOff>
      <xdr:row>15</xdr:row>
      <xdr:rowOff>180976</xdr:rowOff>
    </xdr:to>
    <xdr:sp macro="[0]!RollTorso" textlink="">
      <xdr:nvSpPr>
        <xdr:cNvPr id="3" name="Rectangle 2"/>
        <xdr:cNvSpPr/>
      </xdr:nvSpPr>
      <xdr:spPr>
        <a:xfrm>
          <a:off x="8515350" y="2828925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</a:t>
          </a:r>
          <a:r>
            <a:rPr lang="en-US" sz="1100" baseline="0"/>
            <a:t> Torso</a:t>
          </a:r>
          <a:endParaRPr lang="en-US" sz="1100"/>
        </a:p>
      </xdr:txBody>
    </xdr:sp>
    <xdr:clientData/>
  </xdr:twoCellAnchor>
  <xdr:twoCellAnchor>
    <xdr:from>
      <xdr:col>12</xdr:col>
      <xdr:colOff>1047750</xdr:colOff>
      <xdr:row>27</xdr:row>
      <xdr:rowOff>76201</xdr:rowOff>
    </xdr:from>
    <xdr:to>
      <xdr:col>12</xdr:col>
      <xdr:colOff>1905000</xdr:colOff>
      <xdr:row>28</xdr:row>
      <xdr:rowOff>187326</xdr:rowOff>
    </xdr:to>
    <xdr:sp macro="[0]!RollLegs" textlink="">
      <xdr:nvSpPr>
        <xdr:cNvPr id="4" name="Rectangle 3"/>
        <xdr:cNvSpPr/>
      </xdr:nvSpPr>
      <xdr:spPr>
        <a:xfrm>
          <a:off x="8524875" y="5400676"/>
          <a:ext cx="857250" cy="311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Legs</a:t>
          </a:r>
        </a:p>
      </xdr:txBody>
    </xdr:sp>
    <xdr:clientData/>
  </xdr:twoCellAnchor>
  <xdr:twoCellAnchor>
    <xdr:from>
      <xdr:col>20</xdr:col>
      <xdr:colOff>600075</xdr:colOff>
      <xdr:row>6</xdr:row>
      <xdr:rowOff>133350</xdr:rowOff>
    </xdr:from>
    <xdr:to>
      <xdr:col>22</xdr:col>
      <xdr:colOff>504825</xdr:colOff>
      <xdr:row>8</xdr:row>
      <xdr:rowOff>66676</xdr:rowOff>
    </xdr:to>
    <xdr:sp macro="[0]!RollRightArm" textlink="">
      <xdr:nvSpPr>
        <xdr:cNvPr id="6" name="Rectangle 5"/>
        <xdr:cNvSpPr/>
      </xdr:nvSpPr>
      <xdr:spPr>
        <a:xfrm>
          <a:off x="15001875" y="1314450"/>
          <a:ext cx="11620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Right Arm</a:t>
          </a:r>
        </a:p>
      </xdr:txBody>
    </xdr:sp>
    <xdr:clientData/>
  </xdr:twoCellAnchor>
  <xdr:twoCellAnchor>
    <xdr:from>
      <xdr:col>1</xdr:col>
      <xdr:colOff>171450</xdr:colOff>
      <xdr:row>2</xdr:row>
      <xdr:rowOff>76200</xdr:rowOff>
    </xdr:from>
    <xdr:to>
      <xdr:col>2</xdr:col>
      <xdr:colOff>419100</xdr:colOff>
      <xdr:row>4</xdr:row>
      <xdr:rowOff>19051</xdr:rowOff>
    </xdr:to>
    <xdr:sp macro="[0]!RollAll" textlink="">
      <xdr:nvSpPr>
        <xdr:cNvPr id="10" name="Rectangle 9"/>
        <xdr:cNvSpPr/>
      </xdr:nvSpPr>
      <xdr:spPr>
        <a:xfrm>
          <a:off x="781050" y="4762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581025</xdr:colOff>
      <xdr:row>1</xdr:row>
      <xdr:rowOff>9525</xdr:rowOff>
    </xdr:from>
    <xdr:to>
      <xdr:col>8</xdr:col>
      <xdr:colOff>1133475</xdr:colOff>
      <xdr:row>2</xdr:row>
      <xdr:rowOff>152401</xdr:rowOff>
    </xdr:to>
    <xdr:sp macro="[0]!RollRightArm" textlink="">
      <xdr:nvSpPr>
        <xdr:cNvPr id="2" name="Rectangle 1"/>
        <xdr:cNvSpPr/>
      </xdr:nvSpPr>
      <xdr:spPr>
        <a:xfrm>
          <a:off x="5981700" y="200025"/>
          <a:ext cx="11620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Right Arm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4:L39"/>
  <sheetViews>
    <sheetView workbookViewId="0">
      <selection activeCell="E10" sqref="E10"/>
    </sheetView>
  </sheetViews>
  <sheetFormatPr defaultRowHeight="15" x14ac:dyDescent="0.25"/>
  <cols>
    <col min="4" max="4" width="19.42578125" bestFit="1" customWidth="1"/>
    <col min="5" max="5" width="6" bestFit="1" customWidth="1"/>
    <col min="9" max="9" width="5" bestFit="1" customWidth="1"/>
    <col min="10" max="10" width="79.28515625" bestFit="1" customWidth="1"/>
  </cols>
  <sheetData>
    <row r="4" spans="4:12" ht="15.75" thickBot="1" x14ac:dyDescent="0.3"/>
    <row r="5" spans="4:12" ht="15.75" thickBot="1" x14ac:dyDescent="0.3">
      <c r="D5" s="231" t="s">
        <v>34</v>
      </c>
      <c r="E5" s="232"/>
      <c r="F5" s="232"/>
      <c r="G5" s="232"/>
      <c r="H5" s="232"/>
      <c r="I5" s="233"/>
    </row>
    <row r="6" spans="4:12" ht="15.75" thickBot="1" x14ac:dyDescent="0.3">
      <c r="D6" s="42"/>
      <c r="E6" s="39" t="s">
        <v>0</v>
      </c>
      <c r="F6" s="40" t="s">
        <v>1</v>
      </c>
      <c r="G6" s="40" t="s">
        <v>2</v>
      </c>
      <c r="H6" s="40" t="s">
        <v>3</v>
      </c>
      <c r="I6" s="41" t="s">
        <v>4</v>
      </c>
      <c r="J6" s="7"/>
      <c r="K6" s="95" t="s">
        <v>14</v>
      </c>
      <c r="L6" s="95" t="s">
        <v>54</v>
      </c>
    </row>
    <row r="7" spans="4:12" x14ac:dyDescent="0.25">
      <c r="D7" s="35" t="s">
        <v>31</v>
      </c>
      <c r="E7" s="19" t="s">
        <v>16</v>
      </c>
      <c r="F7" s="34" t="s">
        <v>16</v>
      </c>
      <c r="G7" s="34"/>
      <c r="H7" s="34"/>
      <c r="I7" s="28"/>
      <c r="J7" s="27" t="s">
        <v>10</v>
      </c>
    </row>
    <row r="8" spans="4:12" x14ac:dyDescent="0.25">
      <c r="D8" s="10" t="s">
        <v>32</v>
      </c>
      <c r="E8" s="21" t="s">
        <v>16</v>
      </c>
      <c r="F8" s="36"/>
      <c r="G8" s="36"/>
      <c r="H8" s="36"/>
      <c r="I8" s="30" t="s">
        <v>16</v>
      </c>
      <c r="J8" s="9" t="s">
        <v>11</v>
      </c>
    </row>
    <row r="9" spans="4:12" x14ac:dyDescent="0.25">
      <c r="D9" s="1" t="s">
        <v>5</v>
      </c>
      <c r="E9" s="20" t="s">
        <v>16</v>
      </c>
      <c r="F9" s="32"/>
      <c r="G9" s="32"/>
      <c r="H9" s="32"/>
      <c r="I9" s="29"/>
    </row>
    <row r="10" spans="4:12" ht="15.75" thickBot="1" x14ac:dyDescent="0.3">
      <c r="D10" s="10" t="s">
        <v>6</v>
      </c>
      <c r="E10" s="21" t="s">
        <v>16</v>
      </c>
      <c r="F10" s="36"/>
      <c r="G10" s="36"/>
      <c r="H10" s="36"/>
      <c r="I10" s="30"/>
    </row>
    <row r="11" spans="4:12" x14ac:dyDescent="0.25">
      <c r="D11" s="26" t="s">
        <v>8</v>
      </c>
      <c r="E11" s="23"/>
      <c r="F11" s="24" t="s">
        <v>16</v>
      </c>
      <c r="G11" s="24"/>
      <c r="H11" s="24"/>
      <c r="I11" s="25"/>
      <c r="J11" s="27" t="s">
        <v>47</v>
      </c>
    </row>
    <row r="12" spans="4:12" ht="15.75" thickBot="1" x14ac:dyDescent="0.3">
      <c r="D12" s="65" t="s">
        <v>9</v>
      </c>
      <c r="E12" s="22"/>
      <c r="F12" s="37" t="s">
        <v>16</v>
      </c>
      <c r="G12" s="37"/>
      <c r="H12" s="37"/>
      <c r="I12" s="31"/>
      <c r="J12" s="9" t="s">
        <v>48</v>
      </c>
    </row>
    <row r="13" spans="4:12" x14ac:dyDescent="0.25">
      <c r="D13" s="13" t="s">
        <v>50</v>
      </c>
      <c r="E13" s="23" t="s">
        <v>16</v>
      </c>
      <c r="F13" s="24" t="s">
        <v>16</v>
      </c>
      <c r="G13" s="24"/>
      <c r="H13" s="24"/>
      <c r="I13" s="25" t="s">
        <v>16</v>
      </c>
      <c r="J13" s="9"/>
    </row>
    <row r="14" spans="4:12" ht="15.75" thickBot="1" x14ac:dyDescent="0.3">
      <c r="D14" s="66" t="s">
        <v>13</v>
      </c>
      <c r="E14" s="67" t="s">
        <v>16</v>
      </c>
      <c r="F14" s="68" t="s">
        <v>16</v>
      </c>
      <c r="G14" s="68"/>
      <c r="H14" s="68"/>
      <c r="I14" s="69" t="s">
        <v>16</v>
      </c>
    </row>
    <row r="15" spans="4:12" ht="15.75" thickBot="1" x14ac:dyDescent="0.3">
      <c r="D15" s="66" t="s">
        <v>15</v>
      </c>
      <c r="E15" s="67"/>
      <c r="F15" s="68" t="s">
        <v>16</v>
      </c>
      <c r="G15" s="68"/>
      <c r="H15" s="68"/>
      <c r="I15" s="69" t="s">
        <v>16</v>
      </c>
      <c r="J15" s="9" t="s">
        <v>53</v>
      </c>
    </row>
    <row r="16" spans="4:12" x14ac:dyDescent="0.25">
      <c r="E16" s="7">
        <f>COUNTIF(E7:E15,"x")</f>
        <v>6</v>
      </c>
      <c r="F16" s="7">
        <f>COUNTIF(F7:F15,"x")</f>
        <v>6</v>
      </c>
      <c r="G16" s="7">
        <f>COUNTIF(G7:G15,"x")</f>
        <v>0</v>
      </c>
      <c r="H16" s="7">
        <f>COUNTIF(H7:H15,"x")</f>
        <v>0</v>
      </c>
      <c r="I16" s="7">
        <f>COUNTIF(I7:I15,"x")</f>
        <v>4</v>
      </c>
    </row>
    <row r="17" spans="4:10" ht="15.75" thickBot="1" x14ac:dyDescent="0.3"/>
    <row r="18" spans="4:10" ht="15.75" thickBot="1" x14ac:dyDescent="0.3">
      <c r="D18" s="231" t="s">
        <v>35</v>
      </c>
      <c r="E18" s="232"/>
      <c r="F18" s="232"/>
      <c r="G18" s="232"/>
      <c r="H18" s="232"/>
      <c r="I18" s="233"/>
    </row>
    <row r="19" spans="4:10" ht="15.75" thickBot="1" x14ac:dyDescent="0.3">
      <c r="D19" s="42"/>
      <c r="E19" s="70" t="s">
        <v>0</v>
      </c>
      <c r="F19" s="71" t="s">
        <v>1</v>
      </c>
      <c r="G19" s="71" t="s">
        <v>2</v>
      </c>
      <c r="H19" s="71" t="s">
        <v>3</v>
      </c>
      <c r="I19" s="72" t="s">
        <v>4</v>
      </c>
    </row>
    <row r="20" spans="4:10" x14ac:dyDescent="0.25">
      <c r="D20" s="44" t="s">
        <v>12</v>
      </c>
      <c r="E20" s="1" t="s">
        <v>16</v>
      </c>
      <c r="F20" s="2" t="s">
        <v>16</v>
      </c>
      <c r="G20" s="73" t="s">
        <v>16</v>
      </c>
      <c r="H20" s="73" t="s">
        <v>16</v>
      </c>
      <c r="I20" s="3" t="s">
        <v>16</v>
      </c>
    </row>
    <row r="21" spans="4:10" x14ac:dyDescent="0.25">
      <c r="D21" s="44" t="s">
        <v>14</v>
      </c>
      <c r="E21" s="1"/>
      <c r="F21" s="2"/>
      <c r="G21" s="73" t="s">
        <v>16</v>
      </c>
      <c r="H21" s="73" t="s">
        <v>16</v>
      </c>
      <c r="I21" s="3" t="s">
        <v>16</v>
      </c>
      <c r="J21" s="57" t="s">
        <v>55</v>
      </c>
    </row>
    <row r="22" spans="4:10" x14ac:dyDescent="0.25">
      <c r="D22" s="44" t="s">
        <v>7</v>
      </c>
      <c r="E22" s="1"/>
      <c r="F22" s="2"/>
      <c r="G22" s="2" t="s">
        <v>16</v>
      </c>
      <c r="H22" s="2" t="s">
        <v>16</v>
      </c>
      <c r="I22" s="3"/>
    </row>
    <row r="23" spans="4:10" ht="15.75" thickBot="1" x14ac:dyDescent="0.3">
      <c r="D23" s="45" t="s">
        <v>52</v>
      </c>
      <c r="E23" s="4"/>
      <c r="F23" s="5"/>
      <c r="G23" s="5" t="s">
        <v>16</v>
      </c>
      <c r="H23" s="5" t="s">
        <v>16</v>
      </c>
      <c r="I23" s="6"/>
    </row>
    <row r="25" spans="4:10" ht="15.75" thickBot="1" x14ac:dyDescent="0.3"/>
    <row r="26" spans="4:10" ht="15.75" thickBot="1" x14ac:dyDescent="0.3">
      <c r="D26" s="46" t="s">
        <v>18</v>
      </c>
      <c r="E26" t="s">
        <v>40</v>
      </c>
    </row>
    <row r="27" spans="4:10" x14ac:dyDescent="0.25">
      <c r="D27" s="43" t="s">
        <v>19</v>
      </c>
      <c r="E27">
        <v>1.5</v>
      </c>
    </row>
    <row r="28" spans="4:10" x14ac:dyDescent="0.25">
      <c r="D28" s="44" t="s">
        <v>38</v>
      </c>
      <c r="E28">
        <v>0.25</v>
      </c>
      <c r="F28" t="s">
        <v>43</v>
      </c>
    </row>
    <row r="29" spans="4:10" x14ac:dyDescent="0.25">
      <c r="D29" s="44" t="s">
        <v>39</v>
      </c>
      <c r="E29">
        <v>0.25</v>
      </c>
      <c r="F29" t="s">
        <v>42</v>
      </c>
    </row>
    <row r="30" spans="4:10" ht="15.75" thickBot="1" x14ac:dyDescent="0.3">
      <c r="D30" s="44" t="s">
        <v>17</v>
      </c>
      <c r="E30">
        <v>0.75</v>
      </c>
    </row>
    <row r="31" spans="4:10" x14ac:dyDescent="0.25">
      <c r="D31" s="48" t="s">
        <v>60</v>
      </c>
    </row>
    <row r="32" spans="4:10" x14ac:dyDescent="0.25">
      <c r="D32" s="49" t="s">
        <v>21</v>
      </c>
      <c r="E32">
        <v>1.5</v>
      </c>
    </row>
    <row r="33" spans="4:5" ht="15.75" thickBot="1" x14ac:dyDescent="0.3">
      <c r="D33" s="50" t="s">
        <v>22</v>
      </c>
      <c r="E33">
        <v>1</v>
      </c>
    </row>
    <row r="34" spans="4:5" x14ac:dyDescent="0.25">
      <c r="D34" s="48" t="s">
        <v>37</v>
      </c>
    </row>
    <row r="35" spans="4:5" x14ac:dyDescent="0.25">
      <c r="D35" s="44" t="s">
        <v>61</v>
      </c>
    </row>
    <row r="36" spans="4:5" x14ac:dyDescent="0.25">
      <c r="D36" s="44" t="s">
        <v>62</v>
      </c>
    </row>
    <row r="37" spans="4:5" x14ac:dyDescent="0.25">
      <c r="D37" s="44" t="s">
        <v>23</v>
      </c>
    </row>
    <row r="38" spans="4:5" x14ac:dyDescent="0.25">
      <c r="D38" s="44" t="s">
        <v>20</v>
      </c>
    </row>
    <row r="39" spans="4:5" ht="15.75" thickBot="1" x14ac:dyDescent="0.3">
      <c r="D39" s="45" t="s">
        <v>36</v>
      </c>
    </row>
  </sheetData>
  <mergeCells count="2">
    <mergeCell ref="D5:I5"/>
    <mergeCell ref="D18:I1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1:AA39"/>
  <sheetViews>
    <sheetView topLeftCell="C1" workbookViewId="0">
      <selection activeCell="E22" sqref="E22:H23"/>
    </sheetView>
  </sheetViews>
  <sheetFormatPr defaultRowHeight="15" x14ac:dyDescent="0.25"/>
  <cols>
    <col min="4" max="4" width="19.42578125" bestFit="1" customWidth="1"/>
    <col min="5" max="5" width="14.140625" style="7" bestFit="1" customWidth="1"/>
    <col min="6" max="6" width="6" bestFit="1" customWidth="1"/>
    <col min="7" max="7" width="6.140625" bestFit="1" customWidth="1"/>
    <col min="8" max="8" width="5" bestFit="1" customWidth="1"/>
    <col min="9" max="9" width="16.7109375" style="7" customWidth="1"/>
    <col min="11" max="11" width="6.5703125" bestFit="1" customWidth="1"/>
    <col min="13" max="13" width="28.7109375" bestFit="1" customWidth="1"/>
    <col min="14" max="14" width="9.5703125" bestFit="1" customWidth="1"/>
    <col min="15" max="15" width="8.42578125" bestFit="1" customWidth="1"/>
    <col min="16" max="16" width="10.5703125" bestFit="1" customWidth="1"/>
    <col min="17" max="17" width="5.28515625" bestFit="1" customWidth="1"/>
    <col min="18" max="18" width="16.140625" bestFit="1" customWidth="1"/>
    <col min="19" max="19" width="7.28515625" bestFit="1" customWidth="1"/>
    <col min="22" max="22" width="9.7109375" bestFit="1" customWidth="1"/>
    <col min="24" max="24" width="16.140625" bestFit="1" customWidth="1"/>
    <col min="25" max="25" width="3" bestFit="1" customWidth="1"/>
    <col min="27" max="27" width="6.5703125" bestFit="1" customWidth="1"/>
  </cols>
  <sheetData>
    <row r="1" spans="4:27" ht="15.75" thickBot="1" x14ac:dyDescent="0.3"/>
    <row r="2" spans="4:27" ht="15.75" thickBot="1" x14ac:dyDescent="0.3">
      <c r="E2" s="70" t="s">
        <v>41</v>
      </c>
      <c r="F2" s="71" t="s">
        <v>0</v>
      </c>
      <c r="G2" s="71" t="s">
        <v>1</v>
      </c>
      <c r="H2" s="72" t="s">
        <v>4</v>
      </c>
      <c r="I2" s="70" t="s">
        <v>64</v>
      </c>
      <c r="J2" s="72" t="s">
        <v>65</v>
      </c>
      <c r="K2" s="86" t="s">
        <v>45</v>
      </c>
      <c r="L2" s="9"/>
      <c r="M2" s="51" t="s">
        <v>44</v>
      </c>
      <c r="N2" s="122"/>
      <c r="O2" s="122"/>
      <c r="P2" s="122"/>
      <c r="Q2" s="74">
        <f>SUM(Q4:Q13)</f>
        <v>1.8058868169784545</v>
      </c>
      <c r="R2" s="74">
        <f>SUM(R4:R13)</f>
        <v>1</v>
      </c>
      <c r="S2" s="122"/>
      <c r="T2" s="123"/>
      <c r="V2" s="51" t="s">
        <v>64</v>
      </c>
      <c r="W2" s="74">
        <f>SUM(W4:W6)</f>
        <v>0.8918498158454895</v>
      </c>
      <c r="X2" s="74">
        <f>SUM(X4:X6)</f>
        <v>1</v>
      </c>
      <c r="Y2" s="149"/>
      <c r="Z2" s="122"/>
      <c r="AA2" s="123"/>
    </row>
    <row r="3" spans="4:27" ht="15.75" thickBot="1" x14ac:dyDescent="0.3">
      <c r="D3" s="35" t="s">
        <v>31</v>
      </c>
      <c r="E3" s="96">
        <v>0.5</v>
      </c>
      <c r="F3" s="98">
        <f>IF(P4,T4,"")</f>
        <v>5.8266820590511637E-2</v>
      </c>
      <c r="G3" s="98">
        <f>IF(P17,T17,"")</f>
        <v>9.1395967432116421E-2</v>
      </c>
      <c r="H3" s="99" t="str">
        <f>IF(P30,T30,"")</f>
        <v/>
      </c>
      <c r="I3" s="137"/>
      <c r="J3" s="138"/>
      <c r="K3" s="110">
        <f t="shared" ref="K3:K11" si="0">SUM(E3:H3)</f>
        <v>0.64966278802262811</v>
      </c>
      <c r="L3" s="9"/>
      <c r="M3" s="135">
        <v>1</v>
      </c>
      <c r="N3" s="52" t="s">
        <v>28</v>
      </c>
      <c r="O3" s="18" t="s">
        <v>30</v>
      </c>
      <c r="P3" s="18" t="s">
        <v>29</v>
      </c>
      <c r="Q3" s="15" t="s">
        <v>24</v>
      </c>
      <c r="R3" s="16" t="s">
        <v>25</v>
      </c>
      <c r="S3" s="16" t="s">
        <v>26</v>
      </c>
      <c r="T3" s="17" t="s">
        <v>27</v>
      </c>
      <c r="V3" s="135">
        <v>1</v>
      </c>
      <c r="W3" s="15" t="s">
        <v>24</v>
      </c>
      <c r="X3" s="16" t="s">
        <v>25</v>
      </c>
      <c r="Y3" s="16"/>
      <c r="Z3" s="16" t="s">
        <v>26</v>
      </c>
      <c r="AA3" s="17" t="s">
        <v>27</v>
      </c>
    </row>
    <row r="4" spans="4:27" x14ac:dyDescent="0.25">
      <c r="D4" s="10" t="s">
        <v>32</v>
      </c>
      <c r="E4" s="97">
        <v>0.6</v>
      </c>
      <c r="F4" s="100">
        <f t="shared" ref="F4:F11" si="1">IF(P5,T5,"")</f>
        <v>4.1530841963555241E-2</v>
      </c>
      <c r="G4" s="100" t="str">
        <f t="shared" ref="G4:G11" si="2">IF(P18,T18,"")</f>
        <v/>
      </c>
      <c r="H4" s="101" t="str">
        <f t="shared" ref="H4:H11" si="3">IF(P31,T31,"")</f>
        <v/>
      </c>
      <c r="I4" s="139"/>
      <c r="J4" s="140"/>
      <c r="K4" s="111">
        <f t="shared" si="0"/>
        <v>0.64153084196355525</v>
      </c>
      <c r="L4" s="9"/>
      <c r="M4" s="78" t="s">
        <v>31</v>
      </c>
      <c r="N4" s="83">
        <v>1</v>
      </c>
      <c r="O4" s="53">
        <v>0.70236313343048096</v>
      </c>
      <c r="P4" s="83">
        <f>IF(O4&gt;0.5,1,0)</f>
        <v>1</v>
      </c>
      <c r="Q4" s="53">
        <v>0.14029771089553833</v>
      </c>
      <c r="R4" s="53">
        <f t="shared" ref="R4:R13" si="4">$M$3/$Q$2 * Q4</f>
        <v>7.7689094120682187E-2</v>
      </c>
      <c r="S4" s="53">
        <v>0.75</v>
      </c>
      <c r="T4" s="84">
        <f>S4*R4</f>
        <v>5.8266820590511637E-2</v>
      </c>
      <c r="V4" s="78" t="s">
        <v>14</v>
      </c>
      <c r="W4" s="53">
        <v>0.11532163619995117</v>
      </c>
      <c r="X4" s="53">
        <f>$V$3/$W$2 * W4</f>
        <v>0.1293061165131533</v>
      </c>
      <c r="Y4" s="83">
        <v>20</v>
      </c>
      <c r="Z4" s="150">
        <v>-19</v>
      </c>
      <c r="AA4" s="152">
        <f>Y4+(Z4*X4)</f>
        <v>17.543183786250086</v>
      </c>
    </row>
    <row r="5" spans="4:27" x14ac:dyDescent="0.25">
      <c r="D5" s="1" t="s">
        <v>5</v>
      </c>
      <c r="E5" s="88">
        <v>20</v>
      </c>
      <c r="F5" s="159" t="str">
        <f t="shared" si="1"/>
        <v/>
      </c>
      <c r="G5" s="117" t="str">
        <f t="shared" si="2"/>
        <v/>
      </c>
      <c r="H5" s="118" t="str">
        <f t="shared" si="3"/>
        <v/>
      </c>
      <c r="I5" s="139"/>
      <c r="J5" s="140"/>
      <c r="K5" s="157">
        <f t="shared" si="0"/>
        <v>20</v>
      </c>
      <c r="L5" s="9" t="s">
        <v>92</v>
      </c>
      <c r="M5" s="79" t="s">
        <v>32</v>
      </c>
      <c r="N5" s="59">
        <v>1</v>
      </c>
      <c r="O5" s="54">
        <v>0.82649397850036621</v>
      </c>
      <c r="P5" s="59">
        <f t="shared" ref="P5:P8" si="5">IF(O5&gt;0.5,1,0)</f>
        <v>1</v>
      </c>
      <c r="Q5" s="54">
        <v>0.1</v>
      </c>
      <c r="R5" s="54">
        <f t="shared" si="4"/>
        <v>5.5374455951406991E-2</v>
      </c>
      <c r="S5" s="54">
        <v>0.75</v>
      </c>
      <c r="T5" s="58">
        <f>S5*R5</f>
        <v>4.1530841963555241E-2</v>
      </c>
      <c r="V5" s="79" t="s">
        <v>7</v>
      </c>
      <c r="W5" s="54">
        <v>0.10059517621994019</v>
      </c>
      <c r="X5" s="54">
        <f>$V$3/$W$2 * W5</f>
        <v>0.11279385209557302</v>
      </c>
      <c r="Y5" s="54"/>
      <c r="Z5" s="151">
        <v>50</v>
      </c>
      <c r="AA5" s="58">
        <f>Z5*X5</f>
        <v>5.6396926047786513</v>
      </c>
    </row>
    <row r="6" spans="4:27" ht="15.75" thickBot="1" x14ac:dyDescent="0.3">
      <c r="D6" s="10" t="s">
        <v>6</v>
      </c>
      <c r="E6" s="87">
        <v>1</v>
      </c>
      <c r="F6" s="102">
        <f t="shared" si="1"/>
        <v>-5.5374455951406991E-2</v>
      </c>
      <c r="G6" s="102" t="str">
        <f t="shared" si="2"/>
        <v/>
      </c>
      <c r="H6" s="103" t="str">
        <f t="shared" si="3"/>
        <v/>
      </c>
      <c r="I6" s="139"/>
      <c r="J6" s="140"/>
      <c r="K6" s="62">
        <f t="shared" si="0"/>
        <v>0.944625544048593</v>
      </c>
      <c r="L6" s="9" t="s">
        <v>59</v>
      </c>
      <c r="M6" s="79" t="s">
        <v>5</v>
      </c>
      <c r="N6" s="59">
        <v>1</v>
      </c>
      <c r="O6" s="54">
        <v>0.146933913230896</v>
      </c>
      <c r="P6" s="59">
        <f t="shared" si="5"/>
        <v>0</v>
      </c>
      <c r="Q6" s="54">
        <v>0</v>
      </c>
      <c r="R6" s="54">
        <f t="shared" si="4"/>
        <v>0</v>
      </c>
      <c r="S6" s="54">
        <v>30</v>
      </c>
      <c r="T6" s="58">
        <f>S6*R6</f>
        <v>0</v>
      </c>
      <c r="V6" s="132" t="s">
        <v>12</v>
      </c>
      <c r="W6" s="114">
        <v>0.67593300342559814</v>
      </c>
      <c r="X6" s="55">
        <f>$V$3/$W$2 * W6</f>
        <v>0.75790003139127371</v>
      </c>
      <c r="Y6" s="75"/>
      <c r="Z6" s="33">
        <v>200</v>
      </c>
      <c r="AA6" s="134">
        <f>Z6*(X6)</f>
        <v>151.58000627825473</v>
      </c>
    </row>
    <row r="7" spans="4:27" ht="15.75" thickBot="1" x14ac:dyDescent="0.3">
      <c r="D7" s="64" t="s">
        <v>8</v>
      </c>
      <c r="E7" s="89">
        <v>0</v>
      </c>
      <c r="F7" s="116" t="str">
        <f t="shared" si="1"/>
        <v/>
      </c>
      <c r="G7" s="116" t="str">
        <f t="shared" si="2"/>
        <v/>
      </c>
      <c r="H7" s="119" t="str">
        <f t="shared" si="3"/>
        <v/>
      </c>
      <c r="I7" s="139"/>
      <c r="J7" s="140"/>
      <c r="K7" s="112">
        <f t="shared" si="0"/>
        <v>0</v>
      </c>
      <c r="L7" s="9"/>
      <c r="M7" s="80" t="s">
        <v>6</v>
      </c>
      <c r="N7" s="76">
        <v>1</v>
      </c>
      <c r="O7" s="55">
        <v>0.86890226602554321</v>
      </c>
      <c r="P7" s="76">
        <f t="shared" si="5"/>
        <v>1</v>
      </c>
      <c r="Q7" s="55">
        <v>0.1</v>
      </c>
      <c r="R7" s="55">
        <f t="shared" si="4"/>
        <v>5.5374455951406991E-2</v>
      </c>
      <c r="S7" s="55">
        <v>-1</v>
      </c>
      <c r="T7" s="77">
        <f t="shared" ref="T7:T8" si="6">S7*R7</f>
        <v>-5.5374455951406991E-2</v>
      </c>
    </row>
    <row r="8" spans="4:27" ht="15.75" thickBot="1" x14ac:dyDescent="0.3">
      <c r="D8" s="8" t="s">
        <v>49</v>
      </c>
      <c r="E8" s="90">
        <v>0</v>
      </c>
      <c r="F8" s="120" t="str">
        <f t="shared" si="1"/>
        <v/>
      </c>
      <c r="G8" s="120">
        <f t="shared" si="2"/>
        <v>5.1316509389462075</v>
      </c>
      <c r="H8" s="121" t="str">
        <f t="shared" si="3"/>
        <v/>
      </c>
      <c r="I8" s="139"/>
      <c r="J8" s="140"/>
      <c r="K8" s="124">
        <f t="shared" si="0"/>
        <v>5.1316509389462075</v>
      </c>
      <c r="L8" s="9"/>
      <c r="M8" s="81" t="s">
        <v>8</v>
      </c>
      <c r="N8" s="60">
        <v>0</v>
      </c>
      <c r="O8" s="63">
        <v>0</v>
      </c>
      <c r="P8" s="60">
        <f t="shared" si="5"/>
        <v>0</v>
      </c>
      <c r="Q8" s="63">
        <v>0</v>
      </c>
      <c r="R8" s="63">
        <f t="shared" si="4"/>
        <v>0</v>
      </c>
      <c r="S8" s="63">
        <v>10</v>
      </c>
      <c r="T8" s="82">
        <f t="shared" si="6"/>
        <v>0</v>
      </c>
    </row>
    <row r="9" spans="4:27" ht="15.75" thickBot="1" x14ac:dyDescent="0.3">
      <c r="D9" s="11" t="s">
        <v>50</v>
      </c>
      <c r="E9" s="89">
        <v>1</v>
      </c>
      <c r="F9" s="109" t="str">
        <f>IF(P10,T10,"")</f>
        <v/>
      </c>
      <c r="G9" s="109">
        <f t="shared" si="2"/>
        <v>0.18887425210272105</v>
      </c>
      <c r="H9" s="115" t="str">
        <f t="shared" si="3"/>
        <v/>
      </c>
      <c r="I9" s="139"/>
      <c r="J9" s="140"/>
      <c r="K9" s="113">
        <f t="shared" si="0"/>
        <v>1.1888742521027211</v>
      </c>
      <c r="L9" s="9"/>
      <c r="M9" s="80" t="s">
        <v>9</v>
      </c>
      <c r="N9" s="76">
        <v>0</v>
      </c>
      <c r="O9" s="55">
        <v>0</v>
      </c>
      <c r="P9" s="76">
        <f>IF(O9&gt;0.5,1,0)</f>
        <v>0</v>
      </c>
      <c r="Q9" s="55">
        <v>0</v>
      </c>
      <c r="R9" s="55">
        <f t="shared" si="4"/>
        <v>0</v>
      </c>
      <c r="S9" s="55">
        <v>20</v>
      </c>
      <c r="T9" s="77">
        <f>S9*R9</f>
        <v>0</v>
      </c>
    </row>
    <row r="10" spans="4:27" ht="15.75" thickBot="1" x14ac:dyDescent="0.3">
      <c r="D10" s="12" t="s">
        <v>51</v>
      </c>
      <c r="E10" s="91">
        <v>1</v>
      </c>
      <c r="F10" s="104">
        <f t="shared" si="1"/>
        <v>0.47156041260511689</v>
      </c>
      <c r="G10" s="104">
        <f t="shared" si="2"/>
        <v>0.25875362402016255</v>
      </c>
      <c r="H10" s="108" t="str">
        <f t="shared" si="3"/>
        <v/>
      </c>
      <c r="I10" s="139"/>
      <c r="J10" s="140"/>
      <c r="K10" s="114">
        <f t="shared" si="0"/>
        <v>1.7303140366252796</v>
      </c>
      <c r="L10" s="9"/>
      <c r="M10" s="81" t="s">
        <v>63</v>
      </c>
      <c r="N10" s="60">
        <v>1</v>
      </c>
      <c r="O10" s="63">
        <v>0.42028635740280151</v>
      </c>
      <c r="P10" s="60">
        <f>IF(O10&gt;0.5,1,0)</f>
        <v>0</v>
      </c>
      <c r="Q10" s="63">
        <v>0</v>
      </c>
      <c r="R10" s="63">
        <f t="shared" si="4"/>
        <v>0</v>
      </c>
      <c r="S10" s="63">
        <v>1</v>
      </c>
      <c r="T10" s="82">
        <f>S10*R10</f>
        <v>0</v>
      </c>
    </row>
    <row r="11" spans="4:27" ht="15.75" thickBot="1" x14ac:dyDescent="0.3">
      <c r="D11" s="14" t="s">
        <v>15</v>
      </c>
      <c r="E11" s="125">
        <v>1</v>
      </c>
      <c r="F11" s="126" t="str">
        <f t="shared" si="1"/>
        <v/>
      </c>
      <c r="G11" s="126">
        <f t="shared" si="2"/>
        <v>4.5033989099955694</v>
      </c>
      <c r="H11" s="127">
        <f t="shared" si="3"/>
        <v>3.433388896608236</v>
      </c>
      <c r="I11" s="141"/>
      <c r="J11" s="142"/>
      <c r="K11" s="128">
        <f t="shared" si="0"/>
        <v>8.9367878066038049</v>
      </c>
      <c r="L11" s="9" t="s">
        <v>58</v>
      </c>
      <c r="M11" s="79" t="s">
        <v>51</v>
      </c>
      <c r="N11" s="59">
        <v>1</v>
      </c>
      <c r="O11" s="54">
        <v>0.70463716983795166</v>
      </c>
      <c r="P11" s="59">
        <f>IF(O11&gt;0.5,1,0)</f>
        <v>1</v>
      </c>
      <c r="Q11" s="54">
        <v>0.85158473253250122</v>
      </c>
      <c r="R11" s="54">
        <f t="shared" si="4"/>
        <v>0.47156041260511689</v>
      </c>
      <c r="S11" s="54">
        <v>1</v>
      </c>
      <c r="T11" s="58">
        <f>S11*R11</f>
        <v>0.47156041260511689</v>
      </c>
    </row>
    <row r="12" spans="4:27" ht="15.75" thickBot="1" x14ac:dyDescent="0.3">
      <c r="K12" s="7"/>
      <c r="L12" s="9"/>
      <c r="M12" s="80" t="s">
        <v>15</v>
      </c>
      <c r="N12" s="76">
        <v>0</v>
      </c>
      <c r="O12" s="55">
        <v>0</v>
      </c>
      <c r="P12" s="76">
        <f>IF(O12&gt;0.5,1,0)</f>
        <v>0</v>
      </c>
      <c r="Q12" s="55">
        <v>0</v>
      </c>
      <c r="R12" s="55">
        <f t="shared" si="4"/>
        <v>0</v>
      </c>
      <c r="S12" s="55">
        <v>5</v>
      </c>
      <c r="T12" s="77">
        <f>S12*(1-R12)</f>
        <v>5</v>
      </c>
    </row>
    <row r="13" spans="4:27" ht="15.75" thickBot="1" x14ac:dyDescent="0.3">
      <c r="M13" s="132" t="s">
        <v>12</v>
      </c>
      <c r="N13" s="133">
        <v>1</v>
      </c>
      <c r="O13" s="5"/>
      <c r="P13" s="33">
        <v>1</v>
      </c>
      <c r="Q13" s="114">
        <v>0.61400437355041504</v>
      </c>
      <c r="R13" s="114">
        <f t="shared" si="4"/>
        <v>0.34000158137138697</v>
      </c>
      <c r="S13" s="33">
        <v>100</v>
      </c>
      <c r="T13" s="134">
        <f>S13*(R13)</f>
        <v>34.000158137138698</v>
      </c>
    </row>
    <row r="14" spans="4:27" ht="30.75" thickBot="1" x14ac:dyDescent="0.3">
      <c r="D14" s="9"/>
      <c r="I14" s="148" t="str">
        <f>WeaponRoller!I5</f>
        <v>Targetted Ranged Energy</v>
      </c>
    </row>
    <row r="15" spans="4:27" ht="15.75" thickBot="1" x14ac:dyDescent="0.3">
      <c r="D15" s="13" t="s">
        <v>12</v>
      </c>
      <c r="E15" s="130">
        <v>50</v>
      </c>
      <c r="F15" s="136">
        <f>T13</f>
        <v>34.000158137138698</v>
      </c>
      <c r="G15" s="136">
        <f>T26</f>
        <v>14.921613803886281</v>
      </c>
      <c r="H15" s="136">
        <f>T39</f>
        <v>68.667777932164725</v>
      </c>
      <c r="I15" s="156">
        <f>AA6</f>
        <v>151.58000627825473</v>
      </c>
      <c r="J15" s="131"/>
      <c r="K15" s="146"/>
      <c r="M15" s="51" t="s">
        <v>56</v>
      </c>
      <c r="N15" s="122"/>
      <c r="O15" s="122"/>
      <c r="P15" s="122"/>
      <c r="Q15" s="74">
        <f>SUM(Q17:Q26)</f>
        <v>3.7263797521591187</v>
      </c>
      <c r="R15" s="74">
        <f>SUM(R17:R26)</f>
        <v>1</v>
      </c>
      <c r="S15" s="122"/>
      <c r="T15" s="123"/>
    </row>
    <row r="16" spans="4:27" ht="15.75" thickBot="1" x14ac:dyDescent="0.3">
      <c r="D16" s="65" t="s">
        <v>46</v>
      </c>
      <c r="E16" s="143"/>
      <c r="F16" s="144"/>
      <c r="G16" s="144"/>
      <c r="H16" s="85"/>
      <c r="I16" s="154">
        <f>AA4</f>
        <v>17.543183786250086</v>
      </c>
      <c r="J16" s="129"/>
      <c r="K16" s="145"/>
      <c r="M16" s="135">
        <v>1</v>
      </c>
      <c r="N16" s="52" t="s">
        <v>28</v>
      </c>
      <c r="O16" s="18" t="s">
        <v>30</v>
      </c>
      <c r="P16" s="18" t="s">
        <v>29</v>
      </c>
      <c r="Q16" s="15" t="s">
        <v>24</v>
      </c>
      <c r="R16" s="16" t="s">
        <v>25</v>
      </c>
      <c r="S16" s="16" t="s">
        <v>26</v>
      </c>
      <c r="T16" s="17" t="s">
        <v>27</v>
      </c>
    </row>
    <row r="17" spans="4:20" ht="15.75" thickBot="1" x14ac:dyDescent="0.3">
      <c r="D17" s="153" t="s">
        <v>27</v>
      </c>
      <c r="E17" s="92"/>
      <c r="F17" s="93"/>
      <c r="G17" s="93"/>
      <c r="H17" s="93"/>
      <c r="I17" s="155">
        <f>AA5*WeaponRoller!J5</f>
        <v>8.4595389071679765</v>
      </c>
      <c r="J17" s="93"/>
      <c r="K17" s="94"/>
      <c r="M17" s="78" t="s">
        <v>31</v>
      </c>
      <c r="N17" s="83">
        <v>1</v>
      </c>
      <c r="O17" s="53">
        <v>0.99884933233261108</v>
      </c>
      <c r="P17" s="83">
        <f>IF(O17&gt;0.5,1,0)</f>
        <v>1</v>
      </c>
      <c r="Q17" s="53">
        <v>0.45410144329071045</v>
      </c>
      <c r="R17" s="53">
        <f t="shared" ref="R17:R25" si="7">$M$16/$Q$15 * Q17</f>
        <v>0.12186128990948855</v>
      </c>
      <c r="S17" s="53">
        <v>0.75</v>
      </c>
      <c r="T17" s="84">
        <f>S17*R17</f>
        <v>9.1395967432116421E-2</v>
      </c>
    </row>
    <row r="18" spans="4:20" x14ac:dyDescent="0.25">
      <c r="I18" s="158">
        <f>LN(I17^2+1)*5</f>
        <v>21.422330772589106</v>
      </c>
      <c r="M18" s="79" t="s">
        <v>32</v>
      </c>
      <c r="N18" s="59">
        <v>0</v>
      </c>
      <c r="O18" s="54">
        <v>0</v>
      </c>
      <c r="P18" s="59">
        <f t="shared" ref="P18:P21" si="8">IF(O18&gt;0.5,1,0)</f>
        <v>0</v>
      </c>
      <c r="Q18" s="54">
        <v>0</v>
      </c>
      <c r="R18" s="54">
        <f t="shared" si="7"/>
        <v>0</v>
      </c>
      <c r="S18" s="54">
        <v>0.75</v>
      </c>
      <c r="T18" s="58">
        <f>S18*R18</f>
        <v>0</v>
      </c>
    </row>
    <row r="19" spans="4:20" x14ac:dyDescent="0.25">
      <c r="M19" s="79" t="s">
        <v>5</v>
      </c>
      <c r="N19" s="59">
        <v>0</v>
      </c>
      <c r="O19" s="54">
        <v>0</v>
      </c>
      <c r="P19" s="59">
        <f t="shared" si="8"/>
        <v>0</v>
      </c>
      <c r="Q19" s="54">
        <v>0</v>
      </c>
      <c r="R19" s="54">
        <f t="shared" si="7"/>
        <v>0</v>
      </c>
      <c r="S19" s="54">
        <v>30</v>
      </c>
      <c r="T19" s="58">
        <f>S19*R19</f>
        <v>0</v>
      </c>
    </row>
    <row r="20" spans="4:20" ht="15.75" thickBot="1" x14ac:dyDescent="0.3">
      <c r="M20" s="80" t="s">
        <v>6</v>
      </c>
      <c r="N20" s="76">
        <v>0</v>
      </c>
      <c r="O20" s="55">
        <v>0</v>
      </c>
      <c r="P20" s="76">
        <f t="shared" si="8"/>
        <v>0</v>
      </c>
      <c r="Q20" s="55">
        <v>0</v>
      </c>
      <c r="R20" s="55">
        <f t="shared" si="7"/>
        <v>0</v>
      </c>
      <c r="S20" s="55">
        <v>-1</v>
      </c>
      <c r="T20" s="77">
        <f t="shared" ref="T20:T21" si="9">S20*R20</f>
        <v>0</v>
      </c>
    </row>
    <row r="21" spans="4:20" x14ac:dyDescent="0.25">
      <c r="M21" s="81" t="s">
        <v>8</v>
      </c>
      <c r="N21" s="60">
        <v>1</v>
      </c>
      <c r="O21" s="63">
        <v>0.35392433404922485</v>
      </c>
      <c r="P21" s="60">
        <f t="shared" si="8"/>
        <v>0</v>
      </c>
      <c r="Q21" s="63">
        <v>0</v>
      </c>
      <c r="R21" s="63">
        <f t="shared" si="7"/>
        <v>0</v>
      </c>
      <c r="S21" s="63">
        <v>10</v>
      </c>
      <c r="T21" s="82">
        <f t="shared" si="9"/>
        <v>0</v>
      </c>
    </row>
    <row r="22" spans="4:20" ht="15.75" thickBot="1" x14ac:dyDescent="0.3">
      <c r="M22" s="80" t="s">
        <v>9</v>
      </c>
      <c r="N22" s="76">
        <v>1</v>
      </c>
      <c r="O22" s="55">
        <v>0.92003488540649414</v>
      </c>
      <c r="P22" s="76">
        <f>IF(O22&gt;0.5,1,0)</f>
        <v>1</v>
      </c>
      <c r="Q22" s="55">
        <v>0.95612400770187378</v>
      </c>
      <c r="R22" s="55">
        <f t="shared" si="7"/>
        <v>0.25658254694731036</v>
      </c>
      <c r="S22" s="55">
        <v>20</v>
      </c>
      <c r="T22" s="77">
        <f>S22*R22</f>
        <v>5.1316509389462075</v>
      </c>
    </row>
    <row r="23" spans="4:20" x14ac:dyDescent="0.25">
      <c r="M23" s="81" t="s">
        <v>63</v>
      </c>
      <c r="N23" s="60">
        <v>1</v>
      </c>
      <c r="O23" s="63">
        <v>0.58227741718292236</v>
      </c>
      <c r="P23" s="60">
        <f>IF(O23&gt;0.5,1,0)</f>
        <v>1</v>
      </c>
      <c r="Q23" s="63">
        <v>0.70381718873977661</v>
      </c>
      <c r="R23" s="63">
        <f t="shared" si="7"/>
        <v>0.18887425210272105</v>
      </c>
      <c r="S23" s="63">
        <v>1</v>
      </c>
      <c r="T23" s="82">
        <f>S23*R23</f>
        <v>0.18887425210272105</v>
      </c>
    </row>
    <row r="24" spans="4:20" x14ac:dyDescent="0.25">
      <c r="M24" s="79" t="s">
        <v>13</v>
      </c>
      <c r="N24" s="59">
        <v>1</v>
      </c>
      <c r="O24" s="54">
        <v>0.80803942680358887</v>
      </c>
      <c r="P24" s="59">
        <f>IF(O24&gt;0.5,1,0)</f>
        <v>1</v>
      </c>
      <c r="Q24" s="54">
        <v>0.9642142653465271</v>
      </c>
      <c r="R24" s="54">
        <f t="shared" si="7"/>
        <v>0.25875362402016255</v>
      </c>
      <c r="S24" s="54">
        <v>1</v>
      </c>
      <c r="T24" s="58">
        <f>S24*R24</f>
        <v>0.25875362402016255</v>
      </c>
    </row>
    <row r="25" spans="4:20" ht="15.75" thickBot="1" x14ac:dyDescent="0.3">
      <c r="M25" s="80" t="s">
        <v>15</v>
      </c>
      <c r="N25" s="76">
        <v>1</v>
      </c>
      <c r="O25" s="55">
        <v>0.7612689733505249</v>
      </c>
      <c r="P25" s="76">
        <f>IF(O25&gt;0.5,1,0)</f>
        <v>1</v>
      </c>
      <c r="Q25" s="55">
        <v>0.37010484933853149</v>
      </c>
      <c r="R25" s="55">
        <f t="shared" si="7"/>
        <v>9.9320218000886071E-2</v>
      </c>
      <c r="S25" s="55">
        <v>5</v>
      </c>
      <c r="T25" s="77">
        <f>S25*(1-R25)</f>
        <v>4.5033989099955694</v>
      </c>
    </row>
    <row r="26" spans="4:20" ht="15.75" thickBot="1" x14ac:dyDescent="0.3">
      <c r="M26" s="132" t="s">
        <v>12</v>
      </c>
      <c r="N26" s="133">
        <v>1</v>
      </c>
      <c r="O26" s="5"/>
      <c r="P26" s="33">
        <v>1</v>
      </c>
      <c r="Q26" s="114">
        <v>0.27801799774169922</v>
      </c>
      <c r="R26" s="114">
        <f>$M$3/$Q$15 * Q26</f>
        <v>7.46080690194314E-2</v>
      </c>
      <c r="S26" s="33">
        <v>200</v>
      </c>
      <c r="T26" s="134">
        <f>S26*(R26)</f>
        <v>14.921613803886281</v>
      </c>
    </row>
    <row r="27" spans="4:20" ht="15.75" thickBot="1" x14ac:dyDescent="0.3"/>
    <row r="28" spans="4:20" ht="15.75" thickBot="1" x14ac:dyDescent="0.3">
      <c r="M28" s="51" t="s">
        <v>57</v>
      </c>
      <c r="N28" s="122"/>
      <c r="O28" s="122"/>
      <c r="P28" s="122"/>
      <c r="Q28" s="74">
        <f>SUM(Q30:Q39)</f>
        <v>0.37191706895828247</v>
      </c>
      <c r="R28" s="74">
        <f>SUM(R30:R39)</f>
        <v>1</v>
      </c>
      <c r="S28" s="122"/>
      <c r="T28" s="123"/>
    </row>
    <row r="29" spans="4:20" ht="15.75" thickBot="1" x14ac:dyDescent="0.3">
      <c r="M29" s="135">
        <v>1</v>
      </c>
      <c r="N29" s="52" t="s">
        <v>28</v>
      </c>
      <c r="O29" s="18" t="s">
        <v>30</v>
      </c>
      <c r="P29" s="18" t="s">
        <v>29</v>
      </c>
      <c r="Q29" s="15" t="s">
        <v>24</v>
      </c>
      <c r="R29" s="16" t="s">
        <v>25</v>
      </c>
      <c r="S29" s="16" t="s">
        <v>26</v>
      </c>
      <c r="T29" s="17" t="s">
        <v>27</v>
      </c>
    </row>
    <row r="30" spans="4:20" x14ac:dyDescent="0.25">
      <c r="M30" s="78" t="s">
        <v>31</v>
      </c>
      <c r="N30" s="106">
        <v>0</v>
      </c>
      <c r="O30" s="107">
        <v>0</v>
      </c>
      <c r="P30" s="106">
        <f>IF(O30&gt;0.5,1,0)</f>
        <v>0</v>
      </c>
      <c r="Q30" s="107">
        <v>0</v>
      </c>
      <c r="R30" s="107">
        <f t="shared" ref="R30:R38" si="10">$M$29/$Q$28 * Q30</f>
        <v>0</v>
      </c>
      <c r="S30" s="53">
        <v>0.75</v>
      </c>
      <c r="T30" s="105">
        <f>S30*R30</f>
        <v>0</v>
      </c>
    </row>
    <row r="31" spans="4:20" x14ac:dyDescent="0.25">
      <c r="M31" s="79" t="s">
        <v>32</v>
      </c>
      <c r="N31" s="59">
        <v>1</v>
      </c>
      <c r="O31" s="54">
        <v>0.21007078886032104</v>
      </c>
      <c r="P31" s="59">
        <f t="shared" ref="P31:P34" si="11">IF(O31&gt;0.5,1,0)</f>
        <v>0</v>
      </c>
      <c r="Q31" s="54">
        <v>0</v>
      </c>
      <c r="R31" s="54">
        <f t="shared" si="10"/>
        <v>0</v>
      </c>
      <c r="S31" s="54">
        <v>0.75</v>
      </c>
      <c r="T31" s="61">
        <f>S31*R31</f>
        <v>0</v>
      </c>
    </row>
    <row r="32" spans="4:20" x14ac:dyDescent="0.25">
      <c r="M32" s="79" t="s">
        <v>5</v>
      </c>
      <c r="N32" s="59">
        <v>0</v>
      </c>
      <c r="O32" s="54">
        <v>0</v>
      </c>
      <c r="P32" s="59">
        <f t="shared" si="11"/>
        <v>0</v>
      </c>
      <c r="Q32" s="54">
        <v>0</v>
      </c>
      <c r="R32" s="54">
        <f t="shared" si="10"/>
        <v>0</v>
      </c>
      <c r="S32" s="54">
        <v>30</v>
      </c>
      <c r="T32" s="58">
        <f>S32*(1-R32)</f>
        <v>30</v>
      </c>
    </row>
    <row r="33" spans="13:20" ht="15.75" thickBot="1" x14ac:dyDescent="0.3">
      <c r="M33" s="80" t="s">
        <v>6</v>
      </c>
      <c r="N33" s="76">
        <v>0</v>
      </c>
      <c r="O33" s="55">
        <v>0</v>
      </c>
      <c r="P33" s="76">
        <f t="shared" si="11"/>
        <v>0</v>
      </c>
      <c r="Q33" s="55">
        <v>0</v>
      </c>
      <c r="R33" s="55">
        <f t="shared" si="10"/>
        <v>0</v>
      </c>
      <c r="S33" s="55">
        <v>-1</v>
      </c>
      <c r="T33" s="77">
        <f t="shared" ref="T33:T34" si="12">S33*R33</f>
        <v>0</v>
      </c>
    </row>
    <row r="34" spans="13:20" x14ac:dyDescent="0.25">
      <c r="M34" s="81" t="s">
        <v>8</v>
      </c>
      <c r="N34" s="60">
        <v>0</v>
      </c>
      <c r="O34" s="63">
        <v>0</v>
      </c>
      <c r="P34" s="60">
        <f t="shared" si="11"/>
        <v>0</v>
      </c>
      <c r="Q34" s="63">
        <v>0</v>
      </c>
      <c r="R34" s="63">
        <f t="shared" si="10"/>
        <v>0</v>
      </c>
      <c r="S34" s="63">
        <v>10</v>
      </c>
      <c r="T34" s="82">
        <f t="shared" si="12"/>
        <v>0</v>
      </c>
    </row>
    <row r="35" spans="13:20" ht="15.75" thickBot="1" x14ac:dyDescent="0.3">
      <c r="M35" s="80" t="s">
        <v>9</v>
      </c>
      <c r="N35" s="76">
        <v>0</v>
      </c>
      <c r="O35" s="55">
        <v>0</v>
      </c>
      <c r="P35" s="76">
        <f>IF(O35&gt;0.5,1,0)</f>
        <v>0</v>
      </c>
      <c r="Q35" s="55">
        <v>0</v>
      </c>
      <c r="R35" s="55">
        <f t="shared" si="10"/>
        <v>0</v>
      </c>
      <c r="S35" s="55">
        <v>20</v>
      </c>
      <c r="T35" s="77">
        <f>S35*R35</f>
        <v>0</v>
      </c>
    </row>
    <row r="36" spans="13:20" x14ac:dyDescent="0.25">
      <c r="M36" s="81" t="s">
        <v>33</v>
      </c>
      <c r="N36" s="60">
        <v>1</v>
      </c>
      <c r="O36" s="63">
        <v>0.17802679538726807</v>
      </c>
      <c r="P36" s="60">
        <f>IF(O36&gt;0.5,1,0)</f>
        <v>0</v>
      </c>
      <c r="Q36" s="63">
        <v>0</v>
      </c>
      <c r="R36" s="63">
        <f t="shared" si="10"/>
        <v>0</v>
      </c>
      <c r="S36" s="63">
        <v>1</v>
      </c>
      <c r="T36" s="82">
        <f>S36*R36</f>
        <v>0</v>
      </c>
    </row>
    <row r="37" spans="13:20" x14ac:dyDescent="0.25">
      <c r="M37" s="79" t="s">
        <v>13</v>
      </c>
      <c r="N37" s="59">
        <v>1</v>
      </c>
      <c r="O37" s="54">
        <v>0.274158775806427</v>
      </c>
      <c r="P37" s="59">
        <f>IF(O37&gt;0.5,1,0)</f>
        <v>0</v>
      </c>
      <c r="Q37" s="54">
        <v>0</v>
      </c>
      <c r="R37" s="54">
        <f t="shared" si="10"/>
        <v>0</v>
      </c>
      <c r="S37" s="54">
        <v>1</v>
      </c>
      <c r="T37" s="58">
        <f>S37*R37</f>
        <v>0</v>
      </c>
    </row>
    <row r="38" spans="13:20" ht="15.75" thickBot="1" x14ac:dyDescent="0.3">
      <c r="M38" s="80" t="s">
        <v>15</v>
      </c>
      <c r="N38" s="76">
        <v>1</v>
      </c>
      <c r="O38" s="55">
        <v>0.9857628345489502</v>
      </c>
      <c r="P38" s="76">
        <f>IF(O38&gt;0.5,1,0)</f>
        <v>1</v>
      </c>
      <c r="Q38" s="55">
        <v>0.11652988195419312</v>
      </c>
      <c r="R38" s="55">
        <f t="shared" si="10"/>
        <v>0.31332222067835275</v>
      </c>
      <c r="S38" s="55">
        <v>5</v>
      </c>
      <c r="T38" s="77">
        <f>S38*(1-R38)</f>
        <v>3.433388896608236</v>
      </c>
    </row>
    <row r="39" spans="13:20" ht="15.75" thickBot="1" x14ac:dyDescent="0.3">
      <c r="M39" s="132" t="s">
        <v>12</v>
      </c>
      <c r="N39" s="133">
        <v>1</v>
      </c>
      <c r="O39" s="5"/>
      <c r="P39" s="33">
        <v>1</v>
      </c>
      <c r="Q39" s="114">
        <v>0.25538718700408936</v>
      </c>
      <c r="R39" s="114">
        <f>$M$3/$Q$28 * Q39</f>
        <v>0.68667777932164731</v>
      </c>
      <c r="S39" s="33">
        <v>100</v>
      </c>
      <c r="T39" s="134">
        <f>S39*(R39)</f>
        <v>68.667777932164725</v>
      </c>
    </row>
  </sheetData>
  <conditionalFormatting sqref="T13 N13 Q13:R13 N4:T12">
    <cfRule type="expression" dxfId="335" priority="27">
      <formula>$N4=0</formula>
    </cfRule>
  </conditionalFormatting>
  <conditionalFormatting sqref="T13 Q13:R13 Q4:T12">
    <cfRule type="expression" dxfId="334" priority="28">
      <formula>$P4=0</formula>
    </cfRule>
  </conditionalFormatting>
  <conditionalFormatting sqref="N17:R25 T17:T25">
    <cfRule type="expression" dxfId="333" priority="25">
      <formula>$N17=0</formula>
    </cfRule>
  </conditionalFormatting>
  <conditionalFormatting sqref="Q17:R25 T17:T25">
    <cfRule type="expression" dxfId="332" priority="26">
      <formula>$P17=0</formula>
    </cfRule>
  </conditionalFormatting>
  <conditionalFormatting sqref="N30:R38 T30:T38">
    <cfRule type="expression" dxfId="331" priority="23">
      <formula>$N30=0</formula>
    </cfRule>
  </conditionalFormatting>
  <conditionalFormatting sqref="Q30:R38 T30:T38">
    <cfRule type="expression" dxfId="330" priority="24">
      <formula>$P30=0</formula>
    </cfRule>
  </conditionalFormatting>
  <conditionalFormatting sqref="S30:S31 S34:S38">
    <cfRule type="expression" dxfId="329" priority="15">
      <formula>$N30=0</formula>
    </cfRule>
  </conditionalFormatting>
  <conditionalFormatting sqref="S17:S18 S21:S25">
    <cfRule type="expression" dxfId="328" priority="17">
      <formula>$N17=0</formula>
    </cfRule>
  </conditionalFormatting>
  <conditionalFormatting sqref="S17:S18 S21:S25">
    <cfRule type="expression" dxfId="327" priority="18">
      <formula>$P17=0</formula>
    </cfRule>
  </conditionalFormatting>
  <conditionalFormatting sqref="S30:S31 S34:S38">
    <cfRule type="expression" dxfId="326" priority="16">
      <formula>$P30=0</formula>
    </cfRule>
  </conditionalFormatting>
  <conditionalFormatting sqref="T39 N39 Q39:R39">
    <cfRule type="expression" dxfId="325" priority="11">
      <formula>$N39=0</formula>
    </cfRule>
  </conditionalFormatting>
  <conditionalFormatting sqref="T26 N26 Q26:R26">
    <cfRule type="expression" dxfId="324" priority="13">
      <formula>$N26=0</formula>
    </cfRule>
  </conditionalFormatting>
  <conditionalFormatting sqref="T26 Q26:R26">
    <cfRule type="expression" dxfId="323" priority="14">
      <formula>$P26=0</formula>
    </cfRule>
  </conditionalFormatting>
  <conditionalFormatting sqref="T39 Q39:R39">
    <cfRule type="expression" dxfId="322" priority="12">
      <formula>$P39=0</formula>
    </cfRule>
  </conditionalFormatting>
  <conditionalFormatting sqref="AA6 W4:AA5 W6:Y6">
    <cfRule type="expression" dxfId="321" priority="29">
      <formula>#REF!=0</formula>
    </cfRule>
  </conditionalFormatting>
  <conditionalFormatting sqref="AA6 W4:AA5 W6:Y6">
    <cfRule type="expression" dxfId="320" priority="30">
      <formula>#REF!=0</formula>
    </cfRule>
  </conditionalFormatting>
  <conditionalFormatting sqref="S20">
    <cfRule type="expression" dxfId="319" priority="7">
      <formula>$N20=0</formula>
    </cfRule>
  </conditionalFormatting>
  <conditionalFormatting sqref="S20">
    <cfRule type="expression" dxfId="318" priority="8">
      <formula>$P20=0</formula>
    </cfRule>
  </conditionalFormatting>
  <conditionalFormatting sqref="S33">
    <cfRule type="expression" dxfId="317" priority="5">
      <formula>$N33=0</formula>
    </cfRule>
  </conditionalFormatting>
  <conditionalFormatting sqref="S33">
    <cfRule type="expression" dxfId="316" priority="6">
      <formula>$P33=0</formula>
    </cfRule>
  </conditionalFormatting>
  <conditionalFormatting sqref="S19">
    <cfRule type="expression" dxfId="315" priority="3">
      <formula>$N19=0</formula>
    </cfRule>
  </conditionalFormatting>
  <conditionalFormatting sqref="S19">
    <cfRule type="expression" dxfId="314" priority="4">
      <formula>$P19=0</formula>
    </cfRule>
  </conditionalFormatting>
  <conditionalFormatting sqref="S32">
    <cfRule type="expression" dxfId="313" priority="1">
      <formula>$N32=0</formula>
    </cfRule>
  </conditionalFormatting>
  <conditionalFormatting sqref="S32">
    <cfRule type="expression" dxfId="312" priority="2">
      <formula>$P32=0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9:O20"/>
  <sheetViews>
    <sheetView topLeftCell="A7" workbookViewId="0">
      <selection activeCell="P7" sqref="E7:P7"/>
    </sheetView>
  </sheetViews>
  <sheetFormatPr defaultRowHeight="15" x14ac:dyDescent="0.25"/>
  <cols>
    <col min="5" max="5" width="19.42578125" bestFit="1" customWidth="1"/>
    <col min="6" max="6" width="5" bestFit="1" customWidth="1"/>
    <col min="7" max="7" width="1.5703125" bestFit="1" customWidth="1"/>
    <col min="8" max="8" width="19.42578125" bestFit="1" customWidth="1"/>
    <col min="9" max="9" width="4.5703125" bestFit="1" customWidth="1"/>
    <col min="10" max="10" width="1.5703125" bestFit="1" customWidth="1"/>
    <col min="11" max="11" width="19.42578125" bestFit="1" customWidth="1"/>
    <col min="12" max="12" width="4.5703125" bestFit="1" customWidth="1"/>
    <col min="13" max="13" width="1.5703125" bestFit="1" customWidth="1"/>
    <col min="14" max="14" width="19.42578125" bestFit="1" customWidth="1"/>
    <col min="15" max="15" width="4.5703125" bestFit="1" customWidth="1"/>
  </cols>
  <sheetData>
    <row r="9" spans="5:15" ht="15.75" thickBot="1" x14ac:dyDescent="0.3"/>
    <row r="10" spans="5:15" ht="15.75" thickBot="1" x14ac:dyDescent="0.3">
      <c r="E10" s="242" t="s">
        <v>117</v>
      </c>
      <c r="F10" s="243"/>
      <c r="H10" s="242" t="s">
        <v>118</v>
      </c>
      <c r="I10" s="243"/>
      <c r="K10" s="242" t="s">
        <v>116</v>
      </c>
      <c r="L10" s="243"/>
      <c r="N10" s="242" t="s">
        <v>145</v>
      </c>
      <c r="O10" s="243"/>
    </row>
    <row r="11" spans="5:15" x14ac:dyDescent="0.25">
      <c r="E11" s="241" t="s">
        <v>31</v>
      </c>
      <c r="F11" s="234">
        <v>0.25</v>
      </c>
      <c r="H11" s="235" t="s">
        <v>31</v>
      </c>
      <c r="I11" s="244">
        <v>0.75</v>
      </c>
      <c r="K11" s="235" t="s">
        <v>31</v>
      </c>
      <c r="L11" s="234">
        <v>0.5</v>
      </c>
      <c r="N11" s="235" t="s">
        <v>31</v>
      </c>
      <c r="O11" s="234">
        <v>0.7</v>
      </c>
    </row>
    <row r="12" spans="5:15" x14ac:dyDescent="0.25">
      <c r="E12" s="236" t="s">
        <v>32</v>
      </c>
      <c r="F12" s="234">
        <v>0.8</v>
      </c>
      <c r="H12" s="236" t="s">
        <v>32</v>
      </c>
      <c r="I12" s="234">
        <v>0.3</v>
      </c>
      <c r="K12" s="236" t="s">
        <v>32</v>
      </c>
      <c r="L12" s="234">
        <v>0.5</v>
      </c>
      <c r="N12" s="236" t="s">
        <v>32</v>
      </c>
      <c r="O12" s="234">
        <v>0.25</v>
      </c>
    </row>
    <row r="13" spans="5:15" x14ac:dyDescent="0.25">
      <c r="E13" s="44" t="s">
        <v>5</v>
      </c>
      <c r="F13" s="3">
        <v>15</v>
      </c>
      <c r="H13" s="44" t="s">
        <v>5</v>
      </c>
      <c r="I13" s="3">
        <v>40</v>
      </c>
      <c r="K13" s="44" t="s">
        <v>5</v>
      </c>
      <c r="L13" s="3">
        <v>20</v>
      </c>
      <c r="N13" s="44" t="s">
        <v>5</v>
      </c>
      <c r="O13" s="3">
        <v>35</v>
      </c>
    </row>
    <row r="14" spans="5:15" ht="15.75" thickBot="1" x14ac:dyDescent="0.3">
      <c r="E14" s="236" t="s">
        <v>6</v>
      </c>
      <c r="F14" s="3">
        <v>1</v>
      </c>
      <c r="H14" s="236" t="s">
        <v>6</v>
      </c>
      <c r="I14" s="3">
        <v>1</v>
      </c>
      <c r="K14" s="236" t="s">
        <v>6</v>
      </c>
      <c r="L14" s="3">
        <v>3</v>
      </c>
      <c r="N14" s="236" t="s">
        <v>6</v>
      </c>
      <c r="O14" s="3">
        <v>2</v>
      </c>
    </row>
    <row r="15" spans="5:15" x14ac:dyDescent="0.25">
      <c r="E15" s="237" t="s">
        <v>8</v>
      </c>
      <c r="F15" s="3">
        <v>0</v>
      </c>
      <c r="H15" s="237" t="s">
        <v>8</v>
      </c>
      <c r="I15" s="3">
        <v>0</v>
      </c>
      <c r="K15" s="237" t="s">
        <v>8</v>
      </c>
      <c r="L15" s="3">
        <v>2</v>
      </c>
      <c r="N15" s="237" t="s">
        <v>8</v>
      </c>
      <c r="O15" s="3">
        <v>1</v>
      </c>
    </row>
    <row r="16" spans="5:15" ht="15.75" thickBot="1" x14ac:dyDescent="0.3">
      <c r="E16" s="181" t="s">
        <v>49</v>
      </c>
      <c r="F16" s="3">
        <v>1</v>
      </c>
      <c r="H16" s="181" t="s">
        <v>49</v>
      </c>
      <c r="I16" s="3">
        <v>0</v>
      </c>
      <c r="K16" s="181" t="s">
        <v>49</v>
      </c>
      <c r="L16" s="3">
        <v>2</v>
      </c>
      <c r="N16" s="181" t="s">
        <v>49</v>
      </c>
      <c r="O16" s="3">
        <v>0</v>
      </c>
    </row>
    <row r="17" spans="5:15" x14ac:dyDescent="0.25">
      <c r="E17" s="238" t="s">
        <v>50</v>
      </c>
      <c r="F17" s="3">
        <v>1.25</v>
      </c>
      <c r="H17" s="238" t="s">
        <v>50</v>
      </c>
      <c r="I17" s="3">
        <v>1</v>
      </c>
      <c r="K17" s="238" t="s">
        <v>50</v>
      </c>
      <c r="L17" s="3">
        <v>0.6</v>
      </c>
      <c r="N17" s="238" t="s">
        <v>50</v>
      </c>
      <c r="O17" s="3">
        <v>1.2</v>
      </c>
    </row>
    <row r="18" spans="5:15" ht="15.75" thickBot="1" x14ac:dyDescent="0.3">
      <c r="E18" s="239" t="s">
        <v>51</v>
      </c>
      <c r="F18" s="3">
        <v>1.25</v>
      </c>
      <c r="H18" s="239" t="s">
        <v>51</v>
      </c>
      <c r="I18" s="3">
        <v>1.2</v>
      </c>
      <c r="K18" s="239" t="s">
        <v>51</v>
      </c>
      <c r="L18" s="3">
        <v>0.6</v>
      </c>
      <c r="N18" s="239" t="s">
        <v>51</v>
      </c>
      <c r="O18" s="3">
        <v>1</v>
      </c>
    </row>
    <row r="19" spans="5:15" ht="15.75" thickBot="1" x14ac:dyDescent="0.3">
      <c r="E19" s="240" t="s">
        <v>15</v>
      </c>
      <c r="F19" s="3">
        <v>1.5</v>
      </c>
      <c r="H19" s="240" t="s">
        <v>15</v>
      </c>
      <c r="I19" s="3">
        <v>1</v>
      </c>
      <c r="K19" s="240" t="s">
        <v>15</v>
      </c>
      <c r="L19" s="3">
        <v>2</v>
      </c>
      <c r="N19" s="240" t="s">
        <v>15</v>
      </c>
      <c r="O19" s="3">
        <v>2.5</v>
      </c>
    </row>
    <row r="20" spans="5:15" ht="15.75" thickBot="1" x14ac:dyDescent="0.3">
      <c r="E20" s="239" t="s">
        <v>12</v>
      </c>
      <c r="F20" s="6">
        <v>30</v>
      </c>
      <c r="H20" s="239" t="s">
        <v>12</v>
      </c>
      <c r="I20" s="6">
        <v>40</v>
      </c>
      <c r="K20" s="239" t="s">
        <v>120</v>
      </c>
      <c r="L20" s="6">
        <v>60</v>
      </c>
      <c r="N20" s="239" t="s">
        <v>120</v>
      </c>
      <c r="O20" s="6">
        <v>50</v>
      </c>
    </row>
  </sheetData>
  <mergeCells count="4">
    <mergeCell ref="E10:F10"/>
    <mergeCell ref="H10:I10"/>
    <mergeCell ref="K10:L10"/>
    <mergeCell ref="N10:O1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M17"/>
  <sheetViews>
    <sheetView workbookViewId="0">
      <selection activeCell="I25" sqref="I25"/>
    </sheetView>
  </sheetViews>
  <sheetFormatPr defaultRowHeight="15" x14ac:dyDescent="0.25"/>
  <cols>
    <col min="2" max="2" width="15.85546875" bestFit="1" customWidth="1"/>
    <col min="5" max="5" width="15.85546875" bestFit="1" customWidth="1"/>
    <col min="6" max="6" width="2" bestFit="1" customWidth="1"/>
    <col min="7" max="7" width="5" style="7" bestFit="1" customWidth="1"/>
    <col min="8" max="8" width="3" style="7" bestFit="1" customWidth="1"/>
    <col min="9" max="9" width="30" bestFit="1" customWidth="1"/>
    <col min="10" max="10" width="6.140625" bestFit="1" customWidth="1"/>
    <col min="13" max="13" width="14.28515625" bestFit="1" customWidth="1"/>
  </cols>
  <sheetData>
    <row r="4" spans="2:13" ht="15.75" thickBot="1" x14ac:dyDescent="0.3"/>
    <row r="5" spans="2:13" ht="15.75" thickBot="1" x14ac:dyDescent="0.3">
      <c r="I5" s="52" t="str">
        <f>IF(F7="x",I7,IF(F8="x",I8,IF(F9="x",I9,IF(F10="x",I10,IF(F11="x",I11,IF(F12="x",I12,IF(F13="x",I13,IF(F14="x",I14,IF(F15="x",I15,IF(F16="x",I16,""))))))))))</f>
        <v>Targetted Ranged Energy</v>
      </c>
      <c r="J5" s="52">
        <f>IF(F7="x",J7,IF(F8="x",J8,IF(F9="x",J9,IF(F10="x",J10,IF(F11="x",J11,IF(F12="x",J12,IF(F13="x",J13,IF(F14="x",J14,IF(F15="x",J15,IF(F16="x",J16,""))))))))))</f>
        <v>1.5</v>
      </c>
    </row>
    <row r="6" spans="2:13" ht="15.75" thickBot="1" x14ac:dyDescent="0.3">
      <c r="B6" s="46" t="s">
        <v>18</v>
      </c>
      <c r="C6" s="47"/>
      <c r="G6" s="38">
        <v>0.39676433801651001</v>
      </c>
      <c r="H6" s="38">
        <f>COUNTA(I7:I16)</f>
        <v>10</v>
      </c>
      <c r="I6" s="147" t="s">
        <v>64</v>
      </c>
      <c r="J6" t="s">
        <v>72</v>
      </c>
      <c r="M6" s="147" t="s">
        <v>65</v>
      </c>
    </row>
    <row r="7" spans="2:13" x14ac:dyDescent="0.25">
      <c r="B7" s="43" t="s">
        <v>19</v>
      </c>
      <c r="C7" s="47">
        <v>1.5</v>
      </c>
      <c r="F7" t="str">
        <f>IF($G$6&gt;=G7,IF($G$6&lt;G8,"x",""),"")</f>
        <v/>
      </c>
      <c r="G7" s="56">
        <f>H7/$H$6-0.1</f>
        <v>0</v>
      </c>
      <c r="H7" s="7">
        <v>1</v>
      </c>
      <c r="I7" s="43" t="s">
        <v>66</v>
      </c>
      <c r="J7" s="43">
        <f>$C$7*$C$12</f>
        <v>2.25</v>
      </c>
      <c r="M7" s="44" t="s">
        <v>73</v>
      </c>
    </row>
    <row r="8" spans="2:13" x14ac:dyDescent="0.25">
      <c r="B8" s="44" t="s">
        <v>38</v>
      </c>
      <c r="C8" s="47">
        <v>0.33</v>
      </c>
      <c r="F8" t="str">
        <f>IF($G$6&gt;=G8,IF($G$6&lt;G9,"x",""),"")</f>
        <v/>
      </c>
      <c r="G8" s="56">
        <f t="shared" ref="G8:G16" si="0">H8/$H$6-0.1</f>
        <v>0.1</v>
      </c>
      <c r="H8" s="7">
        <v>2</v>
      </c>
      <c r="I8" s="44" t="s">
        <v>69</v>
      </c>
      <c r="J8" s="44">
        <f>$C$7*$C$13</f>
        <v>1.5</v>
      </c>
      <c r="M8" s="44" t="s">
        <v>74</v>
      </c>
    </row>
    <row r="9" spans="2:13" x14ac:dyDescent="0.25">
      <c r="B9" s="44" t="s">
        <v>39</v>
      </c>
      <c r="C9" s="47">
        <v>0.33</v>
      </c>
      <c r="F9" t="str">
        <f t="shared" ref="F9:F16" si="1">IF($G$6&gt;=G9,IF($G$6&lt;G10,"x",""),"")</f>
        <v/>
      </c>
      <c r="G9" s="56">
        <f t="shared" si="0"/>
        <v>0.19999999999999998</v>
      </c>
      <c r="H9" s="7">
        <v>3</v>
      </c>
      <c r="I9" s="44" t="s">
        <v>67</v>
      </c>
      <c r="J9" s="44">
        <f>$C$7*$C$12</f>
        <v>2.25</v>
      </c>
      <c r="M9" s="44" t="s">
        <v>75</v>
      </c>
    </row>
    <row r="10" spans="2:13" ht="15.75" thickBot="1" x14ac:dyDescent="0.3">
      <c r="B10" s="44" t="s">
        <v>17</v>
      </c>
      <c r="C10" s="47">
        <v>0.75</v>
      </c>
      <c r="F10" t="str">
        <f t="shared" si="1"/>
        <v>x</v>
      </c>
      <c r="G10" s="56">
        <f t="shared" si="0"/>
        <v>0.30000000000000004</v>
      </c>
      <c r="H10" s="7">
        <v>4</v>
      </c>
      <c r="I10" s="45" t="s">
        <v>68</v>
      </c>
      <c r="J10" s="44">
        <f>$C$7*$C$13</f>
        <v>1.5</v>
      </c>
      <c r="M10" s="44" t="s">
        <v>76</v>
      </c>
    </row>
    <row r="11" spans="2:13" x14ac:dyDescent="0.25">
      <c r="B11" s="48" t="s">
        <v>60</v>
      </c>
      <c r="C11" s="47"/>
      <c r="F11" t="str">
        <f t="shared" si="1"/>
        <v/>
      </c>
      <c r="G11" s="56">
        <f t="shared" si="0"/>
        <v>0.4</v>
      </c>
      <c r="H11" s="7">
        <v>5</v>
      </c>
      <c r="I11" s="43" t="s">
        <v>82</v>
      </c>
      <c r="J11" s="43">
        <f>$C$8*$C$13</f>
        <v>0.33</v>
      </c>
      <c r="M11" s="44" t="s">
        <v>77</v>
      </c>
    </row>
    <row r="12" spans="2:13" x14ac:dyDescent="0.25">
      <c r="B12" s="49" t="s">
        <v>21</v>
      </c>
      <c r="C12" s="47">
        <v>1.5</v>
      </c>
      <c r="F12" t="str">
        <f t="shared" si="1"/>
        <v/>
      </c>
      <c r="G12" s="56">
        <f t="shared" si="0"/>
        <v>0.5</v>
      </c>
      <c r="H12" s="7">
        <v>6</v>
      </c>
      <c r="I12" s="44" t="s">
        <v>81</v>
      </c>
      <c r="J12" s="44">
        <f>$C$8*$C$13</f>
        <v>0.33</v>
      </c>
      <c r="M12" s="44" t="s">
        <v>78</v>
      </c>
    </row>
    <row r="13" spans="2:13" ht="15.75" thickBot="1" x14ac:dyDescent="0.3">
      <c r="B13" s="49" t="s">
        <v>22</v>
      </c>
      <c r="C13" s="47">
        <v>1</v>
      </c>
      <c r="F13" t="str">
        <f t="shared" si="1"/>
        <v/>
      </c>
      <c r="G13" s="56">
        <f t="shared" si="0"/>
        <v>0.6</v>
      </c>
      <c r="H13" s="7">
        <v>7</v>
      </c>
      <c r="I13" s="44" t="s">
        <v>79</v>
      </c>
      <c r="J13" s="44">
        <f>$C$9*$C$12</f>
        <v>0.495</v>
      </c>
      <c r="M13" s="44"/>
    </row>
    <row r="14" spans="2:13" ht="15.75" thickBot="1" x14ac:dyDescent="0.3">
      <c r="B14" s="48" t="s">
        <v>37</v>
      </c>
      <c r="C14" s="47"/>
      <c r="F14" t="str">
        <f t="shared" si="1"/>
        <v/>
      </c>
      <c r="G14" s="56">
        <f t="shared" si="0"/>
        <v>0.70000000000000007</v>
      </c>
      <c r="H14" s="7">
        <v>8</v>
      </c>
      <c r="I14" s="45" t="s">
        <v>80</v>
      </c>
      <c r="J14" s="45">
        <f>$C$9*$C$12</f>
        <v>0.495</v>
      </c>
      <c r="M14" s="44"/>
    </row>
    <row r="15" spans="2:13" x14ac:dyDescent="0.25">
      <c r="B15" s="44" t="s">
        <v>61</v>
      </c>
      <c r="C15" s="47"/>
      <c r="F15" t="str">
        <f t="shared" si="1"/>
        <v/>
      </c>
      <c r="G15" s="56">
        <f t="shared" si="0"/>
        <v>0.8</v>
      </c>
      <c r="H15" s="7">
        <v>9</v>
      </c>
      <c r="I15" s="43" t="s">
        <v>70</v>
      </c>
      <c r="J15" s="44">
        <f>C10</f>
        <v>0.75</v>
      </c>
      <c r="M15" s="44"/>
    </row>
    <row r="16" spans="2:13" ht="15.75" thickBot="1" x14ac:dyDescent="0.3">
      <c r="B16" s="45" t="s">
        <v>62</v>
      </c>
      <c r="C16" s="47"/>
      <c r="F16" t="str">
        <f t="shared" si="1"/>
        <v/>
      </c>
      <c r="G16" s="56">
        <f t="shared" si="0"/>
        <v>0.9</v>
      </c>
      <c r="H16" s="7">
        <v>10</v>
      </c>
      <c r="I16" s="45" t="s">
        <v>71</v>
      </c>
      <c r="J16" s="45">
        <f>C10</f>
        <v>0.75</v>
      </c>
      <c r="M16" s="45"/>
    </row>
    <row r="17" spans="7:7" x14ac:dyDescent="0.25">
      <c r="G17" s="7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H2:N27"/>
  <sheetViews>
    <sheetView tabSelected="1" topLeftCell="C1" workbookViewId="0">
      <selection activeCell="G33" sqref="G33"/>
    </sheetView>
  </sheetViews>
  <sheetFormatPr defaultRowHeight="15" x14ac:dyDescent="0.25"/>
  <cols>
    <col min="7" max="7" width="26.140625" bestFit="1" customWidth="1"/>
    <col min="8" max="8" width="1.85546875" bestFit="1" customWidth="1"/>
    <col min="9" max="9" width="30" bestFit="1" customWidth="1"/>
    <col min="10" max="11" width="5.85546875" style="227" bestFit="1" customWidth="1"/>
    <col min="12" max="12" width="9.140625" style="227" bestFit="1" customWidth="1"/>
    <col min="13" max="13" width="8.28515625" style="7" bestFit="1" customWidth="1"/>
    <col min="14" max="14" width="9.140625" style="227"/>
    <col min="16" max="16" width="30" bestFit="1" customWidth="1"/>
  </cols>
  <sheetData>
    <row r="2" spans="8:14" ht="15.75" thickBot="1" x14ac:dyDescent="0.3"/>
    <row r="3" spans="8:14" ht="15.75" thickBot="1" x14ac:dyDescent="0.3">
      <c r="I3" s="206"/>
      <c r="J3" s="230">
        <f>MechRoller!I17</f>
        <v>8.4595389071679765</v>
      </c>
    </row>
    <row r="4" spans="8:14" ht="15.75" thickBot="1" x14ac:dyDescent="0.3">
      <c r="I4" t="s">
        <v>65</v>
      </c>
      <c r="J4" s="227" t="s">
        <v>27</v>
      </c>
      <c r="K4" s="227" t="s">
        <v>107</v>
      </c>
      <c r="L4" s="227" t="s">
        <v>110</v>
      </c>
      <c r="M4" s="7" t="s">
        <v>108</v>
      </c>
      <c r="N4" s="227" t="s">
        <v>109</v>
      </c>
    </row>
    <row r="5" spans="8:14" x14ac:dyDescent="0.25">
      <c r="H5" t="s">
        <v>90</v>
      </c>
      <c r="I5" s="226" t="s">
        <v>82</v>
      </c>
      <c r="J5" s="228">
        <f>$J$3</f>
        <v>8.4595389071679765</v>
      </c>
      <c r="K5" s="227">
        <v>0.33</v>
      </c>
      <c r="L5" s="229">
        <f>J5*K5</f>
        <v>2.7916478393654325</v>
      </c>
      <c r="M5" s="158">
        <f>LN(L5^2+1)*5</f>
        <v>10.869949008208398</v>
      </c>
      <c r="N5" s="227" t="s">
        <v>7</v>
      </c>
    </row>
    <row r="6" spans="8:14" x14ac:dyDescent="0.25">
      <c r="H6" t="s">
        <v>90</v>
      </c>
      <c r="I6" s="182" t="s">
        <v>81</v>
      </c>
      <c r="J6" s="228">
        <f t="shared" ref="J6:J14" si="0">$J$3</f>
        <v>8.4595389071679765</v>
      </c>
      <c r="K6" s="227">
        <v>0.33</v>
      </c>
      <c r="L6" s="229">
        <f t="shared" ref="L6:L14" si="1">J6*K6</f>
        <v>2.7916478393654325</v>
      </c>
      <c r="M6" s="158">
        <f t="shared" ref="M6:M10" si="2">LN(L6^2+1)*5</f>
        <v>10.869949008208398</v>
      </c>
      <c r="N6" s="227" t="s">
        <v>7</v>
      </c>
    </row>
    <row r="7" spans="8:14" x14ac:dyDescent="0.25">
      <c r="H7" t="s">
        <v>90</v>
      </c>
      <c r="I7" s="44" t="s">
        <v>79</v>
      </c>
      <c r="J7" s="228">
        <f t="shared" si="0"/>
        <v>8.4595389071679765</v>
      </c>
      <c r="K7" s="227">
        <v>0.495</v>
      </c>
      <c r="L7" s="229">
        <f t="shared" si="1"/>
        <v>4.1874717590481483</v>
      </c>
      <c r="M7" s="158">
        <f t="shared" si="2"/>
        <v>14.598282530100608</v>
      </c>
      <c r="N7" s="227" t="s">
        <v>7</v>
      </c>
    </row>
    <row r="8" spans="8:14" x14ac:dyDescent="0.25">
      <c r="H8" t="s">
        <v>90</v>
      </c>
      <c r="I8" s="44" t="s">
        <v>80</v>
      </c>
      <c r="J8" s="228">
        <f t="shared" si="0"/>
        <v>8.4595389071679765</v>
      </c>
      <c r="K8" s="227">
        <v>0.495</v>
      </c>
      <c r="L8" s="229">
        <f t="shared" si="1"/>
        <v>4.1874717590481483</v>
      </c>
      <c r="M8" s="158">
        <f t="shared" si="2"/>
        <v>14.598282530100608</v>
      </c>
      <c r="N8" s="227" t="s">
        <v>7</v>
      </c>
    </row>
    <row r="9" spans="8:14" x14ac:dyDescent="0.25">
      <c r="H9" t="s">
        <v>90</v>
      </c>
      <c r="I9" s="44" t="s">
        <v>70</v>
      </c>
      <c r="J9" s="228">
        <f t="shared" si="0"/>
        <v>8.4595389071679765</v>
      </c>
      <c r="K9" s="227">
        <v>0.75</v>
      </c>
      <c r="L9" s="229">
        <f t="shared" si="1"/>
        <v>6.3446541803759828</v>
      </c>
      <c r="M9" s="158">
        <f t="shared" si="2"/>
        <v>18.59881755275093</v>
      </c>
      <c r="N9" s="227" t="s">
        <v>7</v>
      </c>
    </row>
    <row r="10" spans="8:14" x14ac:dyDescent="0.25">
      <c r="I10" s="44" t="s">
        <v>71</v>
      </c>
      <c r="J10" s="228">
        <f t="shared" si="0"/>
        <v>8.4595389071679765</v>
      </c>
      <c r="K10" s="227">
        <v>0.75</v>
      </c>
      <c r="L10" s="229">
        <f t="shared" si="1"/>
        <v>6.3446541803759828</v>
      </c>
      <c r="M10" s="158">
        <f t="shared" si="2"/>
        <v>18.59881755275093</v>
      </c>
      <c r="N10" s="227" t="s">
        <v>7</v>
      </c>
    </row>
    <row r="11" spans="8:14" x14ac:dyDescent="0.25">
      <c r="I11" s="44" t="s">
        <v>73</v>
      </c>
      <c r="J11" s="228">
        <f t="shared" si="0"/>
        <v>8.4595389071679765</v>
      </c>
      <c r="K11" s="227">
        <v>1</v>
      </c>
      <c r="L11" s="229">
        <f t="shared" si="1"/>
        <v>8.4595389071679765</v>
      </c>
      <c r="M11" s="158">
        <f>LN(L11^2+1)*2</f>
        <v>8.5689323090356417</v>
      </c>
      <c r="N11" s="227" t="s">
        <v>36</v>
      </c>
    </row>
    <row r="12" spans="8:14" x14ac:dyDescent="0.25">
      <c r="I12" s="44" t="s">
        <v>105</v>
      </c>
      <c r="J12" s="228">
        <f t="shared" si="0"/>
        <v>8.4595389071679765</v>
      </c>
      <c r="K12" s="227">
        <v>1</v>
      </c>
      <c r="L12" s="229">
        <f t="shared" si="1"/>
        <v>8.4595389071679765</v>
      </c>
      <c r="M12" s="7">
        <f>(L12*0.05) + 1</f>
        <v>1.4229769453583989</v>
      </c>
      <c r="N12" s="227" t="s">
        <v>115</v>
      </c>
    </row>
    <row r="13" spans="8:14" x14ac:dyDescent="0.25">
      <c r="H13" t="s">
        <v>90</v>
      </c>
      <c r="I13" s="44" t="s">
        <v>111</v>
      </c>
      <c r="J13" s="228">
        <f t="shared" si="0"/>
        <v>8.4595389071679765</v>
      </c>
      <c r="K13" s="227">
        <v>1</v>
      </c>
      <c r="L13" s="229">
        <f t="shared" si="1"/>
        <v>8.4595389071679765</v>
      </c>
      <c r="M13" s="158">
        <f t="shared" ref="M13" si="3">LN(L13^2+1)*5</f>
        <v>21.422330772589106</v>
      </c>
      <c r="N13" s="227" t="s">
        <v>7</v>
      </c>
    </row>
    <row r="14" spans="8:14" ht="15.75" thickBot="1" x14ac:dyDescent="0.3">
      <c r="I14" s="45" t="s">
        <v>78</v>
      </c>
      <c r="J14" s="228">
        <f t="shared" si="0"/>
        <v>8.4595389071679765</v>
      </c>
      <c r="K14" s="227">
        <v>1</v>
      </c>
      <c r="L14" s="229">
        <f t="shared" si="1"/>
        <v>8.4595389071679765</v>
      </c>
      <c r="M14" s="158">
        <f>L14/2+3</f>
        <v>7.2297694535839883</v>
      </c>
      <c r="N14" s="227" t="s">
        <v>112</v>
      </c>
    </row>
    <row r="17" spans="8:14" ht="15.75" thickBot="1" x14ac:dyDescent="0.3">
      <c r="I17" t="s">
        <v>64</v>
      </c>
    </row>
    <row r="18" spans="8:14" x14ac:dyDescent="0.25">
      <c r="H18" t="s">
        <v>90</v>
      </c>
      <c r="I18" s="226" t="s">
        <v>68</v>
      </c>
      <c r="J18" s="228">
        <f t="shared" ref="J18:J25" si="4">$J$3</f>
        <v>8.4595389071679765</v>
      </c>
      <c r="K18" s="227">
        <v>1.5</v>
      </c>
      <c r="L18" s="229">
        <f t="shared" ref="L18:L25" si="5">J18*K18</f>
        <v>12.689308360751966</v>
      </c>
      <c r="M18" s="158">
        <f t="shared" ref="M18:M21" si="6">LN(L18^2+1)*5</f>
        <v>25.438554071614597</v>
      </c>
      <c r="N18" s="227" t="s">
        <v>7</v>
      </c>
    </row>
    <row r="19" spans="8:14" x14ac:dyDescent="0.25">
      <c r="H19" t="s">
        <v>90</v>
      </c>
      <c r="I19" s="182" t="s">
        <v>69</v>
      </c>
      <c r="J19" s="228">
        <f t="shared" si="4"/>
        <v>8.4595389071679765</v>
      </c>
      <c r="K19" s="227">
        <v>1.5</v>
      </c>
      <c r="L19" s="229">
        <f t="shared" si="5"/>
        <v>12.689308360751966</v>
      </c>
      <c r="M19" s="158">
        <f t="shared" si="6"/>
        <v>25.438554071614597</v>
      </c>
      <c r="N19" s="227" t="s">
        <v>7</v>
      </c>
    </row>
    <row r="20" spans="8:14" x14ac:dyDescent="0.25">
      <c r="H20" t="s">
        <v>90</v>
      </c>
      <c r="I20" s="44" t="s">
        <v>67</v>
      </c>
      <c r="J20" s="228">
        <f t="shared" si="4"/>
        <v>8.4595389071679765</v>
      </c>
      <c r="K20" s="227">
        <v>2.25</v>
      </c>
      <c r="L20" s="229">
        <f t="shared" si="5"/>
        <v>19.033962541127948</v>
      </c>
      <c r="M20" s="158">
        <f t="shared" si="6"/>
        <v>29.476030877293692</v>
      </c>
      <c r="N20" s="227" t="s">
        <v>7</v>
      </c>
    </row>
    <row r="21" spans="8:14" x14ac:dyDescent="0.25">
      <c r="H21" t="s">
        <v>90</v>
      </c>
      <c r="I21" s="44" t="s">
        <v>66</v>
      </c>
      <c r="J21" s="228">
        <f t="shared" si="4"/>
        <v>8.4595389071679765</v>
      </c>
      <c r="K21" s="227">
        <v>2.25</v>
      </c>
      <c r="L21" s="229">
        <f t="shared" si="5"/>
        <v>19.033962541127948</v>
      </c>
      <c r="M21" s="158">
        <f t="shared" si="6"/>
        <v>29.476030877293692</v>
      </c>
      <c r="N21" s="227" t="s">
        <v>7</v>
      </c>
    </row>
    <row r="22" spans="8:14" x14ac:dyDescent="0.25">
      <c r="I22" s="181" t="s">
        <v>102</v>
      </c>
      <c r="J22" s="228">
        <f t="shared" si="4"/>
        <v>8.4595389071679765</v>
      </c>
      <c r="K22" s="227">
        <v>1</v>
      </c>
      <c r="L22" s="229">
        <f t="shared" si="5"/>
        <v>8.4595389071679765</v>
      </c>
      <c r="M22" s="7" t="s">
        <v>119</v>
      </c>
      <c r="N22" s="227" t="s">
        <v>113</v>
      </c>
    </row>
    <row r="23" spans="8:14" x14ac:dyDescent="0.25">
      <c r="I23" s="181" t="s">
        <v>103</v>
      </c>
      <c r="J23" s="228">
        <f t="shared" si="4"/>
        <v>8.4595389071679765</v>
      </c>
      <c r="K23" s="227">
        <v>1</v>
      </c>
      <c r="L23" s="229">
        <f t="shared" si="5"/>
        <v>8.4595389071679765</v>
      </c>
      <c r="M23" s="7">
        <f>1/((L12*0.05) + 1)</f>
        <v>0.70275207427772801</v>
      </c>
      <c r="N23" s="227" t="s">
        <v>115</v>
      </c>
    </row>
    <row r="24" spans="8:14" x14ac:dyDescent="0.25">
      <c r="I24" s="181" t="s">
        <v>104</v>
      </c>
      <c r="J24" s="228">
        <f t="shared" si="4"/>
        <v>8.4595389071679765</v>
      </c>
      <c r="K24" s="227">
        <v>1</v>
      </c>
      <c r="L24" s="229">
        <f t="shared" si="5"/>
        <v>8.4595389071679765</v>
      </c>
      <c r="M24" s="7" t="s">
        <v>119</v>
      </c>
      <c r="N24" s="227" t="s">
        <v>114</v>
      </c>
    </row>
    <row r="25" spans="8:14" x14ac:dyDescent="0.25">
      <c r="H25" t="s">
        <v>90</v>
      </c>
      <c r="I25" s="44" t="s">
        <v>106</v>
      </c>
      <c r="J25" s="228">
        <f t="shared" si="4"/>
        <v>8.4595389071679765</v>
      </c>
      <c r="K25" s="227">
        <v>0.8</v>
      </c>
      <c r="L25" s="229">
        <f t="shared" si="5"/>
        <v>6.7676311257343817</v>
      </c>
      <c r="M25" s="158">
        <f t="shared" ref="M25" si="7">LN(L25^2+1)*5</f>
        <v>19.229504801651142</v>
      </c>
      <c r="N25" s="227" t="s">
        <v>7</v>
      </c>
    </row>
    <row r="26" spans="8:14" x14ac:dyDescent="0.25">
      <c r="I26" s="44"/>
    </row>
    <row r="27" spans="8:14" ht="15.75" thickBot="1" x14ac:dyDescent="0.3">
      <c r="I27" s="45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L15" sqref="L15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84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84</v>
      </c>
      <c r="R3" s="7" t="s">
        <v>84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84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84</v>
      </c>
      <c r="L5" s="7" t="s">
        <v>84</v>
      </c>
      <c r="M5" s="7" t="s">
        <v>84</v>
      </c>
      <c r="N5" s="7" t="s">
        <v>84</v>
      </c>
      <c r="O5" s="7" t="s">
        <v>84</v>
      </c>
      <c r="P5" s="7" t="s">
        <v>84</v>
      </c>
      <c r="Q5" s="7" t="s">
        <v>84</v>
      </c>
      <c r="R5" s="7" t="s">
        <v>84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84</v>
      </c>
      <c r="X5" s="7" t="s">
        <v>84</v>
      </c>
      <c r="Y5" s="7" t="s">
        <v>84</v>
      </c>
      <c r="Z5" s="7" t="s">
        <v>84</v>
      </c>
      <c r="AA5" s="7" t="s">
        <v>84</v>
      </c>
      <c r="AB5" s="7" t="s">
        <v>84</v>
      </c>
      <c r="AC5" s="7" t="s">
        <v>84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84</v>
      </c>
      <c r="H6" s="7" t="s">
        <v>84</v>
      </c>
      <c r="I6" s="7" t="s">
        <v>84</v>
      </c>
      <c r="J6" s="7" t="s">
        <v>84</v>
      </c>
      <c r="K6" s="7" t="s">
        <v>84</v>
      </c>
      <c r="L6" s="7" t="s">
        <v>84</v>
      </c>
      <c r="M6" s="7" t="s">
        <v>84</v>
      </c>
      <c r="N6" s="7" t="s">
        <v>84</v>
      </c>
      <c r="O6" s="7" t="s">
        <v>84</v>
      </c>
      <c r="P6" s="7" t="s">
        <v>84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84</v>
      </c>
      <c r="X6" s="7" t="s">
        <v>84</v>
      </c>
      <c r="Y6" s="7" t="s">
        <v>84</v>
      </c>
      <c r="Z6" s="7" t="s">
        <v>84</v>
      </c>
      <c r="AA6" s="7" t="s">
        <v>84</v>
      </c>
      <c r="AB6" s="7" t="s">
        <v>84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84</v>
      </c>
      <c r="H7" s="7" t="s">
        <v>84</v>
      </c>
      <c r="I7" s="7" t="s">
        <v>84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84</v>
      </c>
      <c r="R7" s="7" t="s">
        <v>84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84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84</v>
      </c>
      <c r="J8" s="7" t="s">
        <v>84</v>
      </c>
      <c r="K8" s="7" t="s">
        <v>84</v>
      </c>
      <c r="L8" s="7" t="s">
        <v>84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84</v>
      </c>
      <c r="R8" s="7" t="s">
        <v>84</v>
      </c>
      <c r="S8" s="7" t="s">
        <v>84</v>
      </c>
      <c r="T8" s="7" t="s">
        <v>84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84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84</v>
      </c>
      <c r="H9" s="7" t="s">
        <v>84</v>
      </c>
      <c r="I9" s="7" t="s">
        <v>84</v>
      </c>
      <c r="J9" s="7" t="s">
        <v>84</v>
      </c>
      <c r="K9" s="7" t="s">
        <v>84</v>
      </c>
      <c r="L9" s="7" t="s">
        <v>84</v>
      </c>
      <c r="M9" s="7" t="s">
        <v>84</v>
      </c>
      <c r="N9" s="7" t="s">
        <v>84</v>
      </c>
      <c r="O9" s="7" t="s">
        <v>84</v>
      </c>
      <c r="P9" s="7" t="s">
        <v>84</v>
      </c>
      <c r="Q9" s="7" t="s">
        <v>84</v>
      </c>
      <c r="R9" s="7" t="s">
        <v>84</v>
      </c>
      <c r="S9" s="7" t="s">
        <v>84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84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84</v>
      </c>
      <c r="J10" s="7" t="s">
        <v>84</v>
      </c>
      <c r="K10" s="7" t="s">
        <v>84</v>
      </c>
      <c r="L10" s="7" t="s">
        <v>84</v>
      </c>
      <c r="M10" s="7" t="s">
        <v>84</v>
      </c>
      <c r="N10" s="7" t="s">
        <v>84</v>
      </c>
      <c r="O10" s="7" t="s">
        <v>84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84</v>
      </c>
      <c r="Y10" s="7" t="s">
        <v>84</v>
      </c>
      <c r="Z10" s="7" t="s">
        <v>84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84</v>
      </c>
      <c r="H11" s="7" t="s">
        <v>84</v>
      </c>
      <c r="I11" s="7" t="s">
        <v>84</v>
      </c>
      <c r="J11" s="7" t="s">
        <v>84</v>
      </c>
      <c r="K11" s="7" t="s">
        <v>84</v>
      </c>
      <c r="L11" s="7" t="s">
        <v>84</v>
      </c>
      <c r="M11" s="7" t="s">
        <v>84</v>
      </c>
      <c r="N11" s="7" t="s">
        <v>84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84</v>
      </c>
      <c r="Y11" s="7" t="s">
        <v>84</v>
      </c>
      <c r="Z11" s="7" t="s">
        <v>84</v>
      </c>
      <c r="AA11" s="7" t="s">
        <v>84</v>
      </c>
      <c r="AB11" s="7" t="s">
        <v>84</v>
      </c>
      <c r="AC11" s="7" t="s">
        <v>84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84</v>
      </c>
      <c r="J12" s="7" t="s">
        <v>84</v>
      </c>
      <c r="K12" s="7" t="s">
        <v>84</v>
      </c>
      <c r="L12" s="7" t="s">
        <v>84</v>
      </c>
      <c r="M12" s="7" t="s">
        <v>84</v>
      </c>
      <c r="N12" s="7" t="s">
        <v>84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84</v>
      </c>
      <c r="V12" s="7" t="s">
        <v>84</v>
      </c>
      <c r="W12" s="7" t="s">
        <v>84</v>
      </c>
      <c r="X12" s="7" t="s">
        <v>84</v>
      </c>
      <c r="Y12" s="7" t="s">
        <v>84</v>
      </c>
      <c r="Z12" s="7" t="s">
        <v>84</v>
      </c>
      <c r="AA12" s="7" t="s">
        <v>84</v>
      </c>
      <c r="AB12" s="7" t="s">
        <v>84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84</v>
      </c>
      <c r="J13" s="7" t="s">
        <v>84</v>
      </c>
      <c r="K13" s="7" t="s">
        <v>84</v>
      </c>
      <c r="L13" s="7" t="s">
        <v>84</v>
      </c>
      <c r="M13" s="7" t="s">
        <v>84</v>
      </c>
      <c r="N13" s="7" t="s">
        <v>84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84</v>
      </c>
      <c r="V13" s="7" t="s">
        <v>84</v>
      </c>
      <c r="W13" s="7" t="s">
        <v>84</v>
      </c>
      <c r="X13" s="7" t="s">
        <v>84</v>
      </c>
      <c r="Y13" s="7" t="s">
        <v>84</v>
      </c>
      <c r="Z13" s="7" t="s">
        <v>84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84</v>
      </c>
      <c r="J14" s="7" t="s">
        <v>84</v>
      </c>
      <c r="K14" s="7" t="s">
        <v>84</v>
      </c>
      <c r="L14" s="7" t="s">
        <v>84</v>
      </c>
      <c r="M14" s="7" t="s">
        <v>84</v>
      </c>
      <c r="N14" s="7" t="s">
        <v>84</v>
      </c>
      <c r="O14" s="7" t="s">
        <v>84</v>
      </c>
      <c r="P14" s="7" t="s">
        <v>84</v>
      </c>
      <c r="Q14" s="7" t="s">
        <v>84</v>
      </c>
      <c r="R14" s="7" t="s">
        <v>84</v>
      </c>
      <c r="S14" s="7" t="s">
        <v>84</v>
      </c>
      <c r="T14" s="7" t="s">
        <v>84</v>
      </c>
      <c r="U14" s="7" t="s">
        <v>84</v>
      </c>
      <c r="V14" s="7" t="s">
        <v>84</v>
      </c>
      <c r="W14" s="7" t="s">
        <v>84</v>
      </c>
      <c r="X14" s="7" t="s">
        <v>84</v>
      </c>
      <c r="Y14" s="7" t="s">
        <v>84</v>
      </c>
      <c r="Z14" s="7" t="s">
        <v>84</v>
      </c>
      <c r="AA14" s="7" t="s">
        <v>84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84</v>
      </c>
      <c r="H15" s="7" t="s">
        <v>84</v>
      </c>
      <c r="I15" s="7" t="s">
        <v>84</v>
      </c>
      <c r="J15" s="7" t="s">
        <v>84</v>
      </c>
      <c r="K15" s="7" t="s">
        <v>84</v>
      </c>
      <c r="L15" s="7" t="s">
        <v>84</v>
      </c>
      <c r="M15" s="7" t="s">
        <v>84</v>
      </c>
      <c r="N15" s="7" t="s">
        <v>84</v>
      </c>
      <c r="O15" s="7" t="s">
        <v>84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84</v>
      </c>
      <c r="U15" s="7" t="s">
        <v>84</v>
      </c>
      <c r="V15" s="7" t="s">
        <v>84</v>
      </c>
      <c r="W15" s="7" t="s">
        <v>84</v>
      </c>
      <c r="X15" s="7" t="s">
        <v>84</v>
      </c>
      <c r="Y15" s="7" t="s">
        <v>84</v>
      </c>
      <c r="Z15" s="7" t="s">
        <v>84</v>
      </c>
      <c r="AA15" s="7" t="s">
        <v>84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84</v>
      </c>
      <c r="J16" s="7" t="s">
        <v>84</v>
      </c>
      <c r="K16" s="7" t="s">
        <v>84</v>
      </c>
      <c r="L16" s="7" t="s">
        <v>84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84</v>
      </c>
      <c r="R16" s="7" t="s">
        <v>84</v>
      </c>
      <c r="S16" s="7" t="s">
        <v>84</v>
      </c>
      <c r="T16" s="7" t="s">
        <v>84</v>
      </c>
      <c r="U16" s="7" t="s">
        <v>84</v>
      </c>
      <c r="V16" s="7" t="s">
        <v>84</v>
      </c>
      <c r="W16" s="7" t="s">
        <v>84</v>
      </c>
      <c r="X16" s="7" t="s">
        <v>84</v>
      </c>
      <c r="Y16" s="7" t="s">
        <v>84</v>
      </c>
      <c r="Z16" s="7" t="s">
        <v>84</v>
      </c>
      <c r="AA16" s="7" t="s">
        <v>84</v>
      </c>
      <c r="AB16" s="7" t="s">
        <v>84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84</v>
      </c>
      <c r="H17" s="7" t="s">
        <v>84</v>
      </c>
      <c r="I17" s="7" t="s">
        <v>84</v>
      </c>
      <c r="J17" s="7" t="s">
        <v>84</v>
      </c>
      <c r="K17" s="7" t="s">
        <v>84</v>
      </c>
      <c r="L17" s="7" t="s">
        <v>84</v>
      </c>
      <c r="M17" s="7" t="s">
        <v>84</v>
      </c>
      <c r="N17" s="7" t="s">
        <v>84</v>
      </c>
      <c r="O17" s="7" t="s">
        <v>84</v>
      </c>
      <c r="P17" s="7" t="s">
        <v>84</v>
      </c>
      <c r="Q17" s="7" t="s">
        <v>84</v>
      </c>
      <c r="R17" s="7" t="s">
        <v>84</v>
      </c>
      <c r="S17" s="7" t="s">
        <v>84</v>
      </c>
      <c r="T17" s="7" t="s">
        <v>84</v>
      </c>
      <c r="U17" s="7" t="s">
        <v>84</v>
      </c>
      <c r="V17" s="7" t="s">
        <v>84</v>
      </c>
      <c r="W17" s="7" t="s">
        <v>84</v>
      </c>
      <c r="X17" s="7" t="s">
        <v>84</v>
      </c>
      <c r="Y17" s="7" t="s">
        <v>84</v>
      </c>
      <c r="Z17" s="7" t="s">
        <v>84</v>
      </c>
      <c r="AA17" s="7" t="s">
        <v>84</v>
      </c>
      <c r="AB17" s="7" t="s">
        <v>84</v>
      </c>
      <c r="AC17" s="7" t="s">
        <v>84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84</v>
      </c>
      <c r="K18" s="7" t="s">
        <v>84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84</v>
      </c>
      <c r="Q18" s="7" t="s">
        <v>84</v>
      </c>
      <c r="R18" s="7" t="s">
        <v>84</v>
      </c>
      <c r="S18" s="7" t="s">
        <v>84</v>
      </c>
      <c r="T18" s="7" t="s">
        <v>84</v>
      </c>
      <c r="U18" s="7" t="s">
        <v>84</v>
      </c>
      <c r="V18" s="7" t="s">
        <v>84</v>
      </c>
      <c r="W18" s="7" t="s">
        <v>84</v>
      </c>
      <c r="X18" s="7" t="s">
        <v>84</v>
      </c>
      <c r="Y18" s="7" t="s">
        <v>84</v>
      </c>
      <c r="Z18" s="7" t="s">
        <v>84</v>
      </c>
      <c r="AA18" s="7" t="s">
        <v>84</v>
      </c>
      <c r="AB18" s="7" t="s">
        <v>84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84</v>
      </c>
      <c r="L19" s="7" t="s">
        <v>84</v>
      </c>
      <c r="M19" s="7" t="s">
        <v>84</v>
      </c>
      <c r="N19" s="7" t="s">
        <v>84</v>
      </c>
      <c r="O19" s="7" t="s">
        <v>84</v>
      </c>
      <c r="P19" s="7" t="s">
        <v>84</v>
      </c>
      <c r="Q19" s="7" t="s">
        <v>84</v>
      </c>
      <c r="R19" s="7" t="s">
        <v>84</v>
      </c>
      <c r="S19" s="7" t="s">
        <v>84</v>
      </c>
      <c r="T19" s="7" t="s">
        <v>84</v>
      </c>
      <c r="U19" s="7" t="s">
        <v>84</v>
      </c>
      <c r="V19" s="7" t="s">
        <v>84</v>
      </c>
      <c r="W19" s="7" t="s">
        <v>84</v>
      </c>
      <c r="X19" s="7" t="s">
        <v>84</v>
      </c>
      <c r="Y19" s="7" t="s">
        <v>84</v>
      </c>
      <c r="Z19" s="7" t="s">
        <v>84</v>
      </c>
      <c r="AA19" s="7" t="s">
        <v>84</v>
      </c>
      <c r="AB19" s="7" t="s">
        <v>84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84</v>
      </c>
      <c r="J20" s="7" t="s">
        <v>84</v>
      </c>
      <c r="K20" s="7" t="s">
        <v>84</v>
      </c>
      <c r="L20" s="7" t="s">
        <v>84</v>
      </c>
      <c r="M20" s="7" t="s">
        <v>84</v>
      </c>
      <c r="N20" s="7" t="s">
        <v>84</v>
      </c>
      <c r="O20" s="7" t="s">
        <v>84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84</v>
      </c>
      <c r="V20" s="7" t="s">
        <v>84</v>
      </c>
      <c r="W20" s="7" t="s">
        <v>84</v>
      </c>
      <c r="X20" s="7" t="s">
        <v>84</v>
      </c>
      <c r="Y20" s="7" t="s">
        <v>84</v>
      </c>
      <c r="Z20" s="7" t="s">
        <v>84</v>
      </c>
      <c r="AA20" s="7" t="s">
        <v>84</v>
      </c>
      <c r="AB20" s="7" t="s">
        <v>84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84</v>
      </c>
      <c r="G21" s="7" t="s">
        <v>84</v>
      </c>
      <c r="H21" s="7" t="s">
        <v>84</v>
      </c>
      <c r="I21" s="7" t="s">
        <v>84</v>
      </c>
      <c r="J21" s="7" t="s">
        <v>84</v>
      </c>
      <c r="K21" s="7" t="s">
        <v>84</v>
      </c>
      <c r="L21" s="7" t="s">
        <v>84</v>
      </c>
      <c r="M21" s="7" t="s">
        <v>84</v>
      </c>
      <c r="N21" s="7" t="s">
        <v>84</v>
      </c>
      <c r="O21" s="7" t="s">
        <v>84</v>
      </c>
      <c r="P21" s="7" t="s">
        <v>84</v>
      </c>
      <c r="Q21" s="7" t="s">
        <v>84</v>
      </c>
      <c r="R21" s="7" t="s">
        <v>84</v>
      </c>
      <c r="S21" s="7" t="s">
        <v>84</v>
      </c>
      <c r="T21" s="7" t="s">
        <v>84</v>
      </c>
      <c r="U21" s="7" t="s">
        <v>84</v>
      </c>
      <c r="V21" s="7" t="s">
        <v>84</v>
      </c>
      <c r="W21" s="7" t="s">
        <v>84</v>
      </c>
      <c r="X21" s="7" t="s">
        <v>84</v>
      </c>
      <c r="Y21" s="7" t="s">
        <v>84</v>
      </c>
      <c r="Z21" s="7" t="s">
        <v>84</v>
      </c>
      <c r="AA21" s="7" t="s">
        <v>84</v>
      </c>
      <c r="AB21" s="7" t="s">
        <v>84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84</v>
      </c>
      <c r="J22" s="7" t="s">
        <v>84</v>
      </c>
      <c r="K22" s="7" t="s">
        <v>84</v>
      </c>
      <c r="L22" s="7" t="s">
        <v>84</v>
      </c>
      <c r="M22" s="7" t="s">
        <v>84</v>
      </c>
      <c r="N22" s="7" t="s">
        <v>84</v>
      </c>
      <c r="O22" s="7" t="s">
        <v>84</v>
      </c>
      <c r="P22" s="7" t="s">
        <v>84</v>
      </c>
      <c r="Q22" s="7" t="s">
        <v>84</v>
      </c>
      <c r="R22" s="7" t="s">
        <v>84</v>
      </c>
      <c r="S22" s="7" t="s">
        <v>84</v>
      </c>
      <c r="T22" s="7" t="s">
        <v>84</v>
      </c>
      <c r="U22" s="7" t="s">
        <v>84</v>
      </c>
      <c r="V22" s="7" t="s">
        <v>84</v>
      </c>
      <c r="W22" s="7" t="s">
        <v>84</v>
      </c>
      <c r="X22" s="7" t="s">
        <v>84</v>
      </c>
      <c r="Y22" s="7" t="s">
        <v>84</v>
      </c>
      <c r="Z22" s="7" t="s">
        <v>84</v>
      </c>
      <c r="AA22" s="7" t="s">
        <v>84</v>
      </c>
      <c r="AB22" s="7" t="s">
        <v>84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84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84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84</v>
      </c>
      <c r="Y23" s="7" t="s">
        <v>84</v>
      </c>
      <c r="Z23" s="7" t="s">
        <v>84</v>
      </c>
      <c r="AA23" s="7" t="s">
        <v>84</v>
      </c>
      <c r="AB23" s="7" t="s">
        <v>84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84</v>
      </c>
      <c r="J24" s="7" t="s">
        <v>84</v>
      </c>
      <c r="K24" s="7" t="s">
        <v>84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84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84</v>
      </c>
      <c r="Z24" s="7" t="s">
        <v>84</v>
      </c>
      <c r="AA24" s="7" t="s">
        <v>84</v>
      </c>
      <c r="AB24" s="7" t="s">
        <v>84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84</v>
      </c>
      <c r="J25" s="7" t="s">
        <v>84</v>
      </c>
      <c r="K25" s="7" t="s">
        <v>84</v>
      </c>
      <c r="L25" s="7" t="s">
        <v>84</v>
      </c>
      <c r="M25" s="7" t="s">
        <v>84</v>
      </c>
      <c r="N25" s="7" t="s">
        <v>84</v>
      </c>
      <c r="O25" s="7" t="s">
        <v>84</v>
      </c>
      <c r="P25" s="7" t="s">
        <v>84</v>
      </c>
      <c r="Q25" s="7" t="s">
        <v>84</v>
      </c>
      <c r="R25" s="7" t="s">
        <v>84</v>
      </c>
      <c r="S25" s="7" t="s">
        <v>84</v>
      </c>
      <c r="T25" s="7" t="s">
        <v>84</v>
      </c>
      <c r="U25" s="7" t="s">
        <v>84</v>
      </c>
      <c r="V25" s="7" t="s">
        <v>84</v>
      </c>
      <c r="W25" s="7" t="s">
        <v>84</v>
      </c>
      <c r="X25" s="7" t="s">
        <v>84</v>
      </c>
      <c r="Y25" s="7" t="s">
        <v>84</v>
      </c>
      <c r="Z25" s="7" t="s">
        <v>84</v>
      </c>
      <c r="AA25" s="7" t="s">
        <v>84</v>
      </c>
      <c r="AB25" s="7" t="s">
        <v>84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84</v>
      </c>
      <c r="S26" s="7" t="s">
        <v>84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84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84</v>
      </c>
      <c r="R27" s="7" t="s">
        <v>84</v>
      </c>
      <c r="S27" s="7" t="s">
        <v>84</v>
      </c>
      <c r="T27" s="7" t="s">
        <v>84</v>
      </c>
      <c r="U27" s="7" t="s">
        <v>84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84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84</v>
      </c>
      <c r="L28" s="7" t="s">
        <v>84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84</v>
      </c>
      <c r="S28" s="7" t="s">
        <v>84</v>
      </c>
      <c r="T28" s="7" t="s">
        <v>84</v>
      </c>
      <c r="U28" s="7" t="s">
        <v>84</v>
      </c>
      <c r="V28" s="7" t="s">
        <v>84</v>
      </c>
      <c r="W28" s="7" t="s">
        <v>84</v>
      </c>
      <c r="X28" s="7" t="s">
        <v>84</v>
      </c>
      <c r="Y28" s="7" t="s">
        <v>84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84</v>
      </c>
      <c r="S29" s="7" t="s">
        <v>84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84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84</v>
      </c>
      <c r="S30" s="7" t="s">
        <v>84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84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311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310" priority="3" operator="equal">
      <formula>"h"</formula>
    </cfRule>
    <cfRule type="cellIs" dxfId="309" priority="4" operator="equal">
      <formula>"d"</formula>
    </cfRule>
    <cfRule type="cellIs" dxfId="308" priority="5" operator="equal">
      <formula>"o"</formula>
    </cfRule>
    <cfRule type="cellIs" dxfId="307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AF31" activeCellId="1" sqref="C2:AF31 AF30:AG31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" si="0">D1+1</f>
        <v>3</v>
      </c>
      <c r="F1" s="7">
        <f t="shared" ref="F1" si="1">E1+1</f>
        <v>4</v>
      </c>
      <c r="G1" s="7">
        <f t="shared" ref="G1" si="2">F1+1</f>
        <v>5</v>
      </c>
      <c r="H1" s="7">
        <f t="shared" ref="H1" si="3">G1+1</f>
        <v>6</v>
      </c>
      <c r="I1" s="7">
        <f t="shared" ref="I1" si="4">H1+1</f>
        <v>7</v>
      </c>
      <c r="J1" s="7">
        <f t="shared" ref="J1" si="5">I1+1</f>
        <v>8</v>
      </c>
      <c r="K1" s="7">
        <f t="shared" ref="K1" si="6">J1+1</f>
        <v>9</v>
      </c>
      <c r="L1" s="7">
        <f t="shared" ref="L1" si="7">K1+1</f>
        <v>10</v>
      </c>
      <c r="M1" s="7">
        <f t="shared" ref="M1" si="8">L1+1</f>
        <v>11</v>
      </c>
      <c r="N1" s="7">
        <f t="shared" ref="N1" si="9">M1+1</f>
        <v>12</v>
      </c>
      <c r="O1" s="7">
        <f t="shared" ref="O1" si="10">N1+1</f>
        <v>13</v>
      </c>
      <c r="P1" s="7">
        <f t="shared" ref="P1" si="11">O1+1</f>
        <v>14</v>
      </c>
      <c r="Q1" s="7">
        <f t="shared" ref="Q1" si="12">P1+1</f>
        <v>15</v>
      </c>
      <c r="R1" s="7">
        <f t="shared" ref="R1" si="13">Q1+1</f>
        <v>16</v>
      </c>
      <c r="S1" s="7">
        <f t="shared" ref="S1" si="14">R1+1</f>
        <v>17</v>
      </c>
      <c r="T1" s="7">
        <f t="shared" ref="T1" si="15">S1+1</f>
        <v>18</v>
      </c>
      <c r="U1" s="7">
        <f t="shared" ref="U1" si="16">T1+1</f>
        <v>19</v>
      </c>
      <c r="V1" s="7">
        <f t="shared" ref="V1" si="17">U1+1</f>
        <v>20</v>
      </c>
      <c r="W1" s="7">
        <f t="shared" ref="W1" si="18">V1+1</f>
        <v>21</v>
      </c>
      <c r="X1" s="7">
        <f t="shared" ref="X1" si="19">W1+1</f>
        <v>22</v>
      </c>
      <c r="Y1" s="7">
        <f t="shared" ref="Y1" si="20">X1+1</f>
        <v>23</v>
      </c>
      <c r="Z1" s="7">
        <f t="shared" ref="Z1" si="21">Y1+1</f>
        <v>24</v>
      </c>
      <c r="AA1" s="7">
        <f t="shared" ref="AA1" si="22">Z1+1</f>
        <v>25</v>
      </c>
      <c r="AB1" s="7">
        <f t="shared" ref="AB1" si="23">AA1+1</f>
        <v>26</v>
      </c>
      <c r="AC1" s="7">
        <f t="shared" ref="AC1:AF1" si="24">AB1+1</f>
        <v>27</v>
      </c>
      <c r="AD1" s="7">
        <f t="shared" si="24"/>
        <v>28</v>
      </c>
      <c r="AE1" s="7">
        <f t="shared" si="24"/>
        <v>29</v>
      </c>
      <c r="AF1" s="7">
        <f t="shared" si="24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90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86</v>
      </c>
      <c r="R3" s="7" t="s">
        <v>88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16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90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25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86</v>
      </c>
      <c r="R4" s="7" t="s">
        <v>88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16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25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84</v>
      </c>
      <c r="L5" s="7" t="s">
        <v>84</v>
      </c>
      <c r="M5" s="7" t="s">
        <v>84</v>
      </c>
      <c r="N5" s="7" t="s">
        <v>84</v>
      </c>
      <c r="O5" s="7" t="s">
        <v>84</v>
      </c>
      <c r="P5" s="7" t="s">
        <v>84</v>
      </c>
      <c r="Q5" s="7" t="s">
        <v>86</v>
      </c>
      <c r="R5" s="7" t="s">
        <v>88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84</v>
      </c>
      <c r="X5" s="7" t="s">
        <v>84</v>
      </c>
      <c r="Y5" s="7" t="s">
        <v>16</v>
      </c>
      <c r="Z5" s="7" t="s">
        <v>84</v>
      </c>
      <c r="AA5" s="7" t="s">
        <v>84</v>
      </c>
      <c r="AB5" s="7" t="s">
        <v>84</v>
      </c>
      <c r="AC5" s="7" t="s">
        <v>84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25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84</v>
      </c>
      <c r="H6" s="7" t="s">
        <v>84</v>
      </c>
      <c r="I6" s="7" t="s">
        <v>84</v>
      </c>
      <c r="J6" s="7" t="s">
        <v>84</v>
      </c>
      <c r="K6" s="7" t="s">
        <v>16</v>
      </c>
      <c r="L6" s="7" t="s">
        <v>84</v>
      </c>
      <c r="M6" s="7" t="s">
        <v>84</v>
      </c>
      <c r="N6" s="7" t="s">
        <v>84</v>
      </c>
      <c r="O6" s="7" t="s">
        <v>84</v>
      </c>
      <c r="P6" s="7" t="s">
        <v>84</v>
      </c>
      <c r="Q6" s="7" t="s">
        <v>86</v>
      </c>
      <c r="R6" s="7" t="s">
        <v>88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84</v>
      </c>
      <c r="X6" s="7" t="s">
        <v>84</v>
      </c>
      <c r="Y6" s="7" t="s">
        <v>84</v>
      </c>
      <c r="Z6" s="7" t="s">
        <v>84</v>
      </c>
      <c r="AA6" s="7" t="s">
        <v>84</v>
      </c>
      <c r="AB6" s="7" t="s">
        <v>84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25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84</v>
      </c>
      <c r="H7" s="7" t="s">
        <v>84</v>
      </c>
      <c r="I7" s="7" t="s">
        <v>84</v>
      </c>
      <c r="J7" s="7" t="s">
        <v>84</v>
      </c>
      <c r="K7" s="7" t="s">
        <v>16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86</v>
      </c>
      <c r="R7" s="7" t="s">
        <v>88</v>
      </c>
      <c r="S7" s="7" t="s">
        <v>88</v>
      </c>
      <c r="T7" s="7" t="s">
        <v>16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84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25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84</v>
      </c>
      <c r="J8" s="7" t="s">
        <v>88</v>
      </c>
      <c r="K8" s="7" t="s">
        <v>88</v>
      </c>
      <c r="L8" s="7" t="s">
        <v>88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86</v>
      </c>
      <c r="R8" s="7" t="s">
        <v>88</v>
      </c>
      <c r="S8" s="7" t="s">
        <v>88</v>
      </c>
      <c r="T8" s="7" t="s">
        <v>16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84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25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16</v>
      </c>
      <c r="H9" s="7" t="s">
        <v>16</v>
      </c>
      <c r="I9" s="7" t="s">
        <v>16</v>
      </c>
      <c r="J9" s="7" t="s">
        <v>88</v>
      </c>
      <c r="K9" s="7" t="s">
        <v>88</v>
      </c>
      <c r="L9" s="7" t="s">
        <v>88</v>
      </c>
      <c r="M9" s="7" t="s">
        <v>88</v>
      </c>
      <c r="N9" s="7" t="s">
        <v>16</v>
      </c>
      <c r="O9" s="7" t="s">
        <v>16</v>
      </c>
      <c r="P9" s="7" t="s">
        <v>16</v>
      </c>
      <c r="Q9" s="7" t="s">
        <v>16</v>
      </c>
      <c r="R9" s="7" t="s">
        <v>88</v>
      </c>
      <c r="S9" s="7" t="s">
        <v>88</v>
      </c>
      <c r="T9" s="7" t="s">
        <v>16</v>
      </c>
      <c r="U9" s="7" t="s">
        <v>16</v>
      </c>
      <c r="V9" s="7" t="s">
        <v>16</v>
      </c>
      <c r="W9" s="7" t="s">
        <v>16</v>
      </c>
      <c r="X9" s="7" t="s">
        <v>16</v>
      </c>
      <c r="Y9" s="7" t="s">
        <v>16</v>
      </c>
      <c r="Z9" s="7" t="s">
        <v>16</v>
      </c>
      <c r="AA9" s="7" t="s">
        <v>16</v>
      </c>
      <c r="AB9" s="7" t="s">
        <v>16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25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84</v>
      </c>
      <c r="J10" s="7" t="s">
        <v>88</v>
      </c>
      <c r="K10" s="7" t="s">
        <v>88</v>
      </c>
      <c r="L10" s="7" t="s">
        <v>88</v>
      </c>
      <c r="M10" s="7" t="s">
        <v>84</v>
      </c>
      <c r="N10" s="7" t="s">
        <v>84</v>
      </c>
      <c r="O10" s="7" t="s">
        <v>84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84</v>
      </c>
      <c r="Y10" s="7" t="s">
        <v>88</v>
      </c>
      <c r="Z10" s="7" t="s">
        <v>84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25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84</v>
      </c>
      <c r="H11" s="7" t="s">
        <v>84</v>
      </c>
      <c r="I11" s="7" t="s">
        <v>84</v>
      </c>
      <c r="J11" s="7" t="s">
        <v>84</v>
      </c>
      <c r="K11" s="7" t="s">
        <v>88</v>
      </c>
      <c r="L11" s="7" t="s">
        <v>84</v>
      </c>
      <c r="M11" s="7" t="s">
        <v>84</v>
      </c>
      <c r="N11" s="7" t="s">
        <v>84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84</v>
      </c>
      <c r="Y11" s="7" t="s">
        <v>88</v>
      </c>
      <c r="Z11" s="7" t="s">
        <v>84</v>
      </c>
      <c r="AA11" s="7" t="s">
        <v>84</v>
      </c>
      <c r="AB11" s="7" t="s">
        <v>84</v>
      </c>
      <c r="AC11" s="7" t="s">
        <v>84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25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84</v>
      </c>
      <c r="J12" s="7" t="s">
        <v>84</v>
      </c>
      <c r="K12" s="7" t="s">
        <v>16</v>
      </c>
      <c r="L12" s="7" t="s">
        <v>84</v>
      </c>
      <c r="M12" s="7" t="s">
        <v>84</v>
      </c>
      <c r="N12" s="7" t="s">
        <v>86</v>
      </c>
      <c r="O12" s="7" t="s">
        <v>86</v>
      </c>
      <c r="P12" s="7" t="s">
        <v>86</v>
      </c>
      <c r="Q12" s="7" t="s">
        <v>84</v>
      </c>
      <c r="R12" s="7" t="s">
        <v>84</v>
      </c>
      <c r="S12" s="7" t="s">
        <v>86</v>
      </c>
      <c r="T12" s="7" t="s">
        <v>86</v>
      </c>
      <c r="U12" s="7" t="s">
        <v>86</v>
      </c>
      <c r="V12" s="7" t="s">
        <v>86</v>
      </c>
      <c r="W12" s="7" t="s">
        <v>84</v>
      </c>
      <c r="X12" s="7" t="s">
        <v>84</v>
      </c>
      <c r="Y12" s="7" t="s">
        <v>88</v>
      </c>
      <c r="Z12" s="7" t="s">
        <v>84</v>
      </c>
      <c r="AA12" s="7" t="s">
        <v>84</v>
      </c>
      <c r="AB12" s="7" t="s">
        <v>84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25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84</v>
      </c>
      <c r="J13" s="7" t="s">
        <v>84</v>
      </c>
      <c r="K13" s="7" t="s">
        <v>16</v>
      </c>
      <c r="L13" s="7" t="s">
        <v>84</v>
      </c>
      <c r="M13" s="7" t="s">
        <v>84</v>
      </c>
      <c r="N13" s="7" t="s">
        <v>86</v>
      </c>
      <c r="O13" s="7" t="s">
        <v>88</v>
      </c>
      <c r="P13" s="7" t="s">
        <v>88</v>
      </c>
      <c r="Q13" s="7" t="s">
        <v>84</v>
      </c>
      <c r="R13" s="7" t="s">
        <v>84</v>
      </c>
      <c r="S13" s="7" t="s">
        <v>88</v>
      </c>
      <c r="T13" s="7" t="s">
        <v>88</v>
      </c>
      <c r="U13" s="7" t="s">
        <v>88</v>
      </c>
      <c r="V13" s="7" t="s">
        <v>86</v>
      </c>
      <c r="W13" s="7" t="s">
        <v>84</v>
      </c>
      <c r="X13" s="7" t="s">
        <v>84</v>
      </c>
      <c r="Y13" s="7" t="s">
        <v>88</v>
      </c>
      <c r="Z13" s="7" t="s">
        <v>84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25"/>
        <v>13</v>
      </c>
      <c r="C14" s="7" t="s">
        <v>16</v>
      </c>
      <c r="D14" s="7" t="s">
        <v>84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84</v>
      </c>
      <c r="J14" s="7" t="s">
        <v>84</v>
      </c>
      <c r="K14" s="7" t="s">
        <v>16</v>
      </c>
      <c r="L14" s="7" t="s">
        <v>84</v>
      </c>
      <c r="M14" s="7" t="s">
        <v>84</v>
      </c>
      <c r="N14" s="7" t="s">
        <v>86</v>
      </c>
      <c r="O14" s="7" t="s">
        <v>88</v>
      </c>
      <c r="P14" s="7" t="s">
        <v>84</v>
      </c>
      <c r="Q14" s="7" t="s">
        <v>84</v>
      </c>
      <c r="R14" s="7" t="s">
        <v>84</v>
      </c>
      <c r="S14" s="7" t="s">
        <v>84</v>
      </c>
      <c r="T14" s="7" t="s">
        <v>84</v>
      </c>
      <c r="U14" s="7" t="s">
        <v>88</v>
      </c>
      <c r="V14" s="7" t="s">
        <v>86</v>
      </c>
      <c r="W14" s="7" t="s">
        <v>84</v>
      </c>
      <c r="X14" s="7" t="s">
        <v>84</v>
      </c>
      <c r="Y14" s="7" t="s">
        <v>88</v>
      </c>
      <c r="Z14" s="7" t="s">
        <v>84</v>
      </c>
      <c r="AA14" s="7" t="s">
        <v>84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25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84</v>
      </c>
      <c r="H15" s="7" t="s">
        <v>84</v>
      </c>
      <c r="I15" s="7" t="s">
        <v>84</v>
      </c>
      <c r="J15" s="7" t="s">
        <v>84</v>
      </c>
      <c r="K15" s="7" t="s">
        <v>88</v>
      </c>
      <c r="L15" s="7" t="s">
        <v>84</v>
      </c>
      <c r="M15" s="7" t="s">
        <v>84</v>
      </c>
      <c r="N15" s="7" t="s">
        <v>86</v>
      </c>
      <c r="O15" s="7" t="s">
        <v>88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84</v>
      </c>
      <c r="U15" s="7" t="s">
        <v>88</v>
      </c>
      <c r="V15" s="7" t="s">
        <v>86</v>
      </c>
      <c r="W15" s="7" t="s">
        <v>84</v>
      </c>
      <c r="X15" s="7" t="s">
        <v>84</v>
      </c>
      <c r="Y15" s="7" t="s">
        <v>88</v>
      </c>
      <c r="Z15" s="7" t="s">
        <v>86</v>
      </c>
      <c r="AA15" s="7" t="s">
        <v>86</v>
      </c>
      <c r="AB15" s="7" t="s">
        <v>86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25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84</v>
      </c>
      <c r="J16" s="7" t="s">
        <v>84</v>
      </c>
      <c r="K16" s="7" t="s">
        <v>88</v>
      </c>
      <c r="L16" s="7" t="s">
        <v>84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84</v>
      </c>
      <c r="R16" s="7" t="s">
        <v>88</v>
      </c>
      <c r="S16" s="7" t="s">
        <v>84</v>
      </c>
      <c r="T16" s="7" t="s">
        <v>84</v>
      </c>
      <c r="U16" s="7" t="s">
        <v>84</v>
      </c>
      <c r="V16" s="7" t="s">
        <v>84</v>
      </c>
      <c r="W16" s="7" t="s">
        <v>84</v>
      </c>
      <c r="X16" s="7" t="s">
        <v>84</v>
      </c>
      <c r="Y16" s="7" t="s">
        <v>88</v>
      </c>
      <c r="Z16" s="7" t="s">
        <v>88</v>
      </c>
      <c r="AA16" s="7" t="s">
        <v>88</v>
      </c>
      <c r="AB16" s="7" t="s">
        <v>88</v>
      </c>
      <c r="AC16" s="7" t="s">
        <v>88</v>
      </c>
      <c r="AD16" s="7" t="s">
        <v>88</v>
      </c>
      <c r="AE16" s="7" t="s">
        <v>88</v>
      </c>
      <c r="AF16" s="7" t="s">
        <v>16</v>
      </c>
    </row>
    <row r="17" spans="2:32" x14ac:dyDescent="0.25">
      <c r="B17" s="7">
        <f t="shared" si="25"/>
        <v>16</v>
      </c>
      <c r="C17" s="7" t="s">
        <v>16</v>
      </c>
      <c r="D17" s="7" t="s">
        <v>88</v>
      </c>
      <c r="E17" s="7" t="s">
        <v>88</v>
      </c>
      <c r="F17" s="7" t="s">
        <v>88</v>
      </c>
      <c r="G17" s="7" t="s">
        <v>88</v>
      </c>
      <c r="H17" s="7" t="s">
        <v>88</v>
      </c>
      <c r="I17" s="7" t="s">
        <v>88</v>
      </c>
      <c r="J17" s="7" t="s">
        <v>88</v>
      </c>
      <c r="K17" s="7" t="s">
        <v>88</v>
      </c>
      <c r="L17" s="7" t="s">
        <v>84</v>
      </c>
      <c r="M17" s="7" t="s">
        <v>84</v>
      </c>
      <c r="N17" s="7" t="s">
        <v>84</v>
      </c>
      <c r="O17" s="7" t="s">
        <v>84</v>
      </c>
      <c r="P17" s="7" t="s">
        <v>84</v>
      </c>
      <c r="Q17" s="7" t="s">
        <v>88</v>
      </c>
      <c r="R17" s="7" t="s">
        <v>16</v>
      </c>
      <c r="S17" s="7" t="s">
        <v>84</v>
      </c>
      <c r="T17" s="7" t="s">
        <v>84</v>
      </c>
      <c r="U17" s="7" t="s">
        <v>84</v>
      </c>
      <c r="V17" s="7" t="s">
        <v>84</v>
      </c>
      <c r="W17" s="7" t="s">
        <v>84</v>
      </c>
      <c r="X17" s="7" t="s">
        <v>84</v>
      </c>
      <c r="Y17" s="7" t="s">
        <v>88</v>
      </c>
      <c r="Z17" s="7" t="s">
        <v>84</v>
      </c>
      <c r="AA17" s="7" t="s">
        <v>84</v>
      </c>
      <c r="AB17" s="7" t="s">
        <v>84</v>
      </c>
      <c r="AC17" s="7" t="s">
        <v>84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25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86</v>
      </c>
      <c r="I18" s="7" t="s">
        <v>86</v>
      </c>
      <c r="J18" s="7" t="s">
        <v>86</v>
      </c>
      <c r="K18" s="7" t="s">
        <v>88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84</v>
      </c>
      <c r="Q18" s="7" t="s">
        <v>84</v>
      </c>
      <c r="R18" s="7" t="s">
        <v>88</v>
      </c>
      <c r="S18" s="7" t="s">
        <v>84</v>
      </c>
      <c r="T18" s="7" t="s">
        <v>84</v>
      </c>
      <c r="U18" s="7" t="s">
        <v>88</v>
      </c>
      <c r="V18" s="7" t="s">
        <v>86</v>
      </c>
      <c r="W18" s="7" t="s">
        <v>84</v>
      </c>
      <c r="X18" s="7" t="s">
        <v>84</v>
      </c>
      <c r="Y18" s="7" t="s">
        <v>88</v>
      </c>
      <c r="Z18" s="7" t="s">
        <v>84</v>
      </c>
      <c r="AA18" s="7" t="s">
        <v>84</v>
      </c>
      <c r="AB18" s="7" t="s">
        <v>84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25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88</v>
      </c>
      <c r="L19" s="7" t="s">
        <v>84</v>
      </c>
      <c r="M19" s="7" t="s">
        <v>84</v>
      </c>
      <c r="N19" s="7" t="s">
        <v>84</v>
      </c>
      <c r="O19" s="7" t="s">
        <v>84</v>
      </c>
      <c r="P19" s="7" t="s">
        <v>84</v>
      </c>
      <c r="Q19" s="7" t="s">
        <v>84</v>
      </c>
      <c r="R19" s="7" t="s">
        <v>84</v>
      </c>
      <c r="S19" s="7" t="s">
        <v>84</v>
      </c>
      <c r="T19" s="7" t="s">
        <v>84</v>
      </c>
      <c r="U19" s="7" t="s">
        <v>88</v>
      </c>
      <c r="V19" s="7" t="s">
        <v>86</v>
      </c>
      <c r="W19" s="7" t="s">
        <v>84</v>
      </c>
      <c r="X19" s="7" t="s">
        <v>84</v>
      </c>
      <c r="Y19" s="7" t="s">
        <v>16</v>
      </c>
      <c r="Z19" s="7" t="s">
        <v>84</v>
      </c>
      <c r="AA19" s="7" t="s">
        <v>84</v>
      </c>
      <c r="AB19" s="7" t="s">
        <v>84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25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84</v>
      </c>
      <c r="J20" s="7" t="s">
        <v>84</v>
      </c>
      <c r="K20" s="7" t="s">
        <v>88</v>
      </c>
      <c r="L20" s="7" t="s">
        <v>84</v>
      </c>
      <c r="M20" s="7" t="s">
        <v>84</v>
      </c>
      <c r="N20" s="7" t="s">
        <v>86</v>
      </c>
      <c r="O20" s="7" t="s">
        <v>88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88</v>
      </c>
      <c r="V20" s="7" t="s">
        <v>86</v>
      </c>
      <c r="W20" s="7" t="s">
        <v>84</v>
      </c>
      <c r="X20" s="7" t="s">
        <v>84</v>
      </c>
      <c r="Y20" s="7" t="s">
        <v>16</v>
      </c>
      <c r="Z20" s="7" t="s">
        <v>84</v>
      </c>
      <c r="AA20" s="7" t="s">
        <v>84</v>
      </c>
      <c r="AB20" s="7" t="s">
        <v>84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25"/>
        <v>20</v>
      </c>
      <c r="C21" s="7" t="s">
        <v>16</v>
      </c>
      <c r="D21" s="7" t="s">
        <v>84</v>
      </c>
      <c r="E21" s="7" t="s">
        <v>84</v>
      </c>
      <c r="F21" s="7" t="s">
        <v>84</v>
      </c>
      <c r="G21" s="7" t="s">
        <v>84</v>
      </c>
      <c r="H21" s="7" t="s">
        <v>16</v>
      </c>
      <c r="I21" s="7" t="s">
        <v>16</v>
      </c>
      <c r="J21" s="7" t="s">
        <v>16</v>
      </c>
      <c r="K21" s="7" t="s">
        <v>16</v>
      </c>
      <c r="L21" s="7" t="s">
        <v>84</v>
      </c>
      <c r="M21" s="7" t="s">
        <v>84</v>
      </c>
      <c r="N21" s="7" t="s">
        <v>86</v>
      </c>
      <c r="O21" s="7" t="s">
        <v>88</v>
      </c>
      <c r="P21" s="7" t="s">
        <v>84</v>
      </c>
      <c r="Q21" s="7" t="s">
        <v>84</v>
      </c>
      <c r="R21" s="7" t="s">
        <v>88</v>
      </c>
      <c r="S21" s="7" t="s">
        <v>88</v>
      </c>
      <c r="T21" s="7" t="s">
        <v>88</v>
      </c>
      <c r="U21" s="7" t="s">
        <v>88</v>
      </c>
      <c r="V21" s="7" t="s">
        <v>86</v>
      </c>
      <c r="W21" s="7" t="s">
        <v>84</v>
      </c>
      <c r="X21" s="7" t="s">
        <v>84</v>
      </c>
      <c r="Y21" s="7" t="s">
        <v>16</v>
      </c>
      <c r="Z21" s="7" t="s">
        <v>84</v>
      </c>
      <c r="AA21" s="7" t="s">
        <v>84</v>
      </c>
      <c r="AB21" s="7" t="s">
        <v>84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25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84</v>
      </c>
      <c r="J22" s="7" t="s">
        <v>84</v>
      </c>
      <c r="K22" s="7" t="s">
        <v>86</v>
      </c>
      <c r="L22" s="7" t="s">
        <v>84</v>
      </c>
      <c r="M22" s="7" t="s">
        <v>84</v>
      </c>
      <c r="N22" s="7" t="s">
        <v>86</v>
      </c>
      <c r="O22" s="7" t="s">
        <v>86</v>
      </c>
      <c r="P22" s="7" t="s">
        <v>84</v>
      </c>
      <c r="Q22" s="7" t="s">
        <v>84</v>
      </c>
      <c r="R22" s="7" t="s">
        <v>86</v>
      </c>
      <c r="S22" s="7" t="s">
        <v>86</v>
      </c>
      <c r="T22" s="7" t="s">
        <v>86</v>
      </c>
      <c r="U22" s="7" t="s">
        <v>86</v>
      </c>
      <c r="V22" s="7" t="s">
        <v>86</v>
      </c>
      <c r="W22" s="7" t="s">
        <v>84</v>
      </c>
      <c r="X22" s="7" t="s">
        <v>84</v>
      </c>
      <c r="Y22" s="7" t="s">
        <v>16</v>
      </c>
      <c r="Z22" s="7" t="s">
        <v>84</v>
      </c>
      <c r="AA22" s="7" t="s">
        <v>84</v>
      </c>
      <c r="AB22" s="7" t="s">
        <v>84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25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86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84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84</v>
      </c>
      <c r="Y23" s="7" t="s">
        <v>16</v>
      </c>
      <c r="Z23" s="7" t="s">
        <v>84</v>
      </c>
      <c r="AA23" s="7" t="s">
        <v>84</v>
      </c>
      <c r="AB23" s="7" t="s">
        <v>84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25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84</v>
      </c>
      <c r="J24" s="7" t="s">
        <v>84</v>
      </c>
      <c r="K24" s="7" t="s">
        <v>86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84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16</v>
      </c>
      <c r="Z24" s="7" t="s">
        <v>84</v>
      </c>
      <c r="AA24" s="7" t="s">
        <v>84</v>
      </c>
      <c r="AB24" s="7" t="s">
        <v>84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25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84</v>
      </c>
      <c r="J25" s="7" t="s">
        <v>84</v>
      </c>
      <c r="K25" s="7" t="s">
        <v>16</v>
      </c>
      <c r="L25" s="7" t="s">
        <v>88</v>
      </c>
      <c r="M25" s="7" t="s">
        <v>88</v>
      </c>
      <c r="N25" s="7" t="s">
        <v>88</v>
      </c>
      <c r="O25" s="7" t="s">
        <v>16</v>
      </c>
      <c r="P25" s="7" t="s">
        <v>16</v>
      </c>
      <c r="Q25" s="7" t="s">
        <v>16</v>
      </c>
      <c r="R25" s="7" t="s">
        <v>16</v>
      </c>
      <c r="S25" s="7" t="s">
        <v>88</v>
      </c>
      <c r="T25" s="7" t="s">
        <v>88</v>
      </c>
      <c r="U25" s="7" t="s">
        <v>16</v>
      </c>
      <c r="V25" s="7" t="s">
        <v>88</v>
      </c>
      <c r="W25" s="7" t="s">
        <v>88</v>
      </c>
      <c r="X25" s="7" t="s">
        <v>88</v>
      </c>
      <c r="Y25" s="7" t="s">
        <v>88</v>
      </c>
      <c r="Z25" s="7" t="s">
        <v>16</v>
      </c>
      <c r="AA25" s="7" t="s">
        <v>16</v>
      </c>
      <c r="AB25" s="7" t="s">
        <v>16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25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16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86</v>
      </c>
      <c r="S26" s="7" t="s">
        <v>88</v>
      </c>
      <c r="T26" s="7" t="s">
        <v>88</v>
      </c>
      <c r="U26" s="7" t="s">
        <v>16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25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84</v>
      </c>
      <c r="J27" s="7" t="s">
        <v>84</v>
      </c>
      <c r="K27" s="7" t="s">
        <v>16</v>
      </c>
      <c r="L27" s="7" t="s">
        <v>84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84</v>
      </c>
      <c r="R27" s="7" t="s">
        <v>86</v>
      </c>
      <c r="S27" s="7" t="s">
        <v>88</v>
      </c>
      <c r="T27" s="7" t="s">
        <v>88</v>
      </c>
      <c r="U27" s="7" t="s">
        <v>16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84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25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16</v>
      </c>
      <c r="L28" s="7" t="s">
        <v>84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86</v>
      </c>
      <c r="S28" s="7" t="s">
        <v>88</v>
      </c>
      <c r="T28" s="7" t="s">
        <v>84</v>
      </c>
      <c r="U28" s="7" t="s">
        <v>84</v>
      </c>
      <c r="V28" s="7" t="s">
        <v>84</v>
      </c>
      <c r="W28" s="7" t="s">
        <v>84</v>
      </c>
      <c r="X28" s="7" t="s">
        <v>84</v>
      </c>
      <c r="Y28" s="7" t="s">
        <v>84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25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86</v>
      </c>
      <c r="S29" s="7" t="s">
        <v>88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25"/>
        <v>29</v>
      </c>
      <c r="C30" s="7" t="s">
        <v>16</v>
      </c>
      <c r="D30" s="7" t="s">
        <v>90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86</v>
      </c>
      <c r="S30" s="7" t="s">
        <v>88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90</v>
      </c>
      <c r="AF30" s="7" t="s">
        <v>16</v>
      </c>
    </row>
    <row r="31" spans="2:32" x14ac:dyDescent="0.25">
      <c r="B31" s="7">
        <f t="shared" si="25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306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305" priority="3" operator="equal">
      <formula>"h"</formula>
    </cfRule>
    <cfRule type="cellIs" dxfId="304" priority="4" operator="equal">
      <formula>"d"</formula>
    </cfRule>
    <cfRule type="cellIs" dxfId="303" priority="5" operator="equal">
      <formula>"o"</formula>
    </cfRule>
    <cfRule type="cellIs" dxfId="302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AK32" sqref="AK32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84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84</v>
      </c>
      <c r="R3" s="7" t="s">
        <v>84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84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84</v>
      </c>
      <c r="L5" s="7" t="s">
        <v>84</v>
      </c>
      <c r="M5" s="7" t="s">
        <v>84</v>
      </c>
      <c r="N5" s="7" t="s">
        <v>84</v>
      </c>
      <c r="O5" s="7" t="s">
        <v>88</v>
      </c>
      <c r="P5" s="7" t="s">
        <v>86</v>
      </c>
      <c r="Q5" s="7" t="s">
        <v>84</v>
      </c>
      <c r="R5" s="7" t="s">
        <v>84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86</v>
      </c>
      <c r="X5" s="7" t="s">
        <v>88</v>
      </c>
      <c r="Y5" s="7" t="s">
        <v>88</v>
      </c>
      <c r="Z5" s="7" t="s">
        <v>88</v>
      </c>
      <c r="AA5" s="7" t="s">
        <v>84</v>
      </c>
      <c r="AB5" s="7" t="s">
        <v>84</v>
      </c>
      <c r="AC5" s="7" t="s">
        <v>16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16</v>
      </c>
      <c r="H6" s="7" t="s">
        <v>88</v>
      </c>
      <c r="I6" s="7" t="s">
        <v>88</v>
      </c>
      <c r="J6" s="7" t="s">
        <v>88</v>
      </c>
      <c r="K6" s="7" t="s">
        <v>88</v>
      </c>
      <c r="L6" s="7" t="s">
        <v>88</v>
      </c>
      <c r="M6" s="7" t="s">
        <v>84</v>
      </c>
      <c r="N6" s="7" t="s">
        <v>84</v>
      </c>
      <c r="O6" s="7" t="s">
        <v>88</v>
      </c>
      <c r="P6" s="7" t="s">
        <v>86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86</v>
      </c>
      <c r="X6" s="7" t="s">
        <v>88</v>
      </c>
      <c r="Y6" s="7" t="s">
        <v>88</v>
      </c>
      <c r="Z6" s="7" t="s">
        <v>88</v>
      </c>
      <c r="AA6" s="7" t="s">
        <v>84</v>
      </c>
      <c r="AB6" s="7" t="s">
        <v>84</v>
      </c>
      <c r="AC6" s="7" t="s">
        <v>16</v>
      </c>
      <c r="AD6" s="7" t="s">
        <v>88</v>
      </c>
      <c r="AE6" s="7" t="s">
        <v>88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16</v>
      </c>
      <c r="H7" s="7" t="s">
        <v>88</v>
      </c>
      <c r="I7" s="7" t="s">
        <v>88</v>
      </c>
      <c r="J7" s="7" t="s">
        <v>88</v>
      </c>
      <c r="K7" s="7" t="s">
        <v>88</v>
      </c>
      <c r="L7" s="7" t="s">
        <v>88</v>
      </c>
      <c r="M7" s="7" t="s">
        <v>84</v>
      </c>
      <c r="N7" s="7" t="s">
        <v>84</v>
      </c>
      <c r="O7" s="7" t="s">
        <v>88</v>
      </c>
      <c r="P7" s="7" t="s">
        <v>88</v>
      </c>
      <c r="Q7" s="7" t="s">
        <v>86</v>
      </c>
      <c r="R7" s="7" t="s">
        <v>86</v>
      </c>
      <c r="S7" s="7" t="s">
        <v>16</v>
      </c>
      <c r="T7" s="7" t="s">
        <v>16</v>
      </c>
      <c r="U7" s="7" t="s">
        <v>86</v>
      </c>
      <c r="V7" s="7" t="s">
        <v>86</v>
      </c>
      <c r="W7" s="7" t="s">
        <v>88</v>
      </c>
      <c r="X7" s="7" t="s">
        <v>88</v>
      </c>
      <c r="Y7" s="7" t="s">
        <v>16</v>
      </c>
      <c r="Z7" s="7" t="s">
        <v>16</v>
      </c>
      <c r="AA7" s="7" t="s">
        <v>84</v>
      </c>
      <c r="AB7" s="7" t="s">
        <v>84</v>
      </c>
      <c r="AC7" s="7" t="s">
        <v>88</v>
      </c>
      <c r="AD7" s="7" t="s">
        <v>88</v>
      </c>
      <c r="AE7" s="7" t="s">
        <v>88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16</v>
      </c>
      <c r="H8" s="7" t="s">
        <v>84</v>
      </c>
      <c r="I8" s="7" t="s">
        <v>84</v>
      </c>
      <c r="J8" s="7" t="s">
        <v>84</v>
      </c>
      <c r="K8" s="7" t="s">
        <v>84</v>
      </c>
      <c r="L8" s="7" t="s">
        <v>84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84</v>
      </c>
      <c r="R8" s="7" t="s">
        <v>84</v>
      </c>
      <c r="S8" s="7" t="s">
        <v>84</v>
      </c>
      <c r="T8" s="7" t="s">
        <v>84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84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16</v>
      </c>
      <c r="H9" s="7" t="s">
        <v>84</v>
      </c>
      <c r="I9" s="7" t="s">
        <v>84</v>
      </c>
      <c r="J9" s="7" t="s">
        <v>84</v>
      </c>
      <c r="K9" s="7" t="s">
        <v>84</v>
      </c>
      <c r="L9" s="7" t="s">
        <v>84</v>
      </c>
      <c r="M9" s="7" t="s">
        <v>84</v>
      </c>
      <c r="N9" s="7" t="s">
        <v>84</v>
      </c>
      <c r="O9" s="7" t="s">
        <v>84</v>
      </c>
      <c r="P9" s="7" t="s">
        <v>84</v>
      </c>
      <c r="Q9" s="7" t="s">
        <v>84</v>
      </c>
      <c r="R9" s="7" t="s">
        <v>84</v>
      </c>
      <c r="S9" s="7" t="s">
        <v>84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84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86</v>
      </c>
      <c r="H10" s="7" t="s">
        <v>84</v>
      </c>
      <c r="I10" s="7" t="s">
        <v>84</v>
      </c>
      <c r="J10" s="7" t="s">
        <v>88</v>
      </c>
      <c r="K10" s="7" t="s">
        <v>84</v>
      </c>
      <c r="L10" s="7" t="s">
        <v>84</v>
      </c>
      <c r="M10" s="7" t="s">
        <v>88</v>
      </c>
      <c r="N10" s="7" t="s">
        <v>88</v>
      </c>
      <c r="O10" s="7" t="s">
        <v>84</v>
      </c>
      <c r="P10" s="7" t="s">
        <v>84</v>
      </c>
      <c r="Q10" s="7" t="s">
        <v>88</v>
      </c>
      <c r="R10" s="7" t="s">
        <v>88</v>
      </c>
      <c r="S10" s="7" t="s">
        <v>84</v>
      </c>
      <c r="T10" s="7" t="s">
        <v>84</v>
      </c>
      <c r="U10" s="7" t="s">
        <v>88</v>
      </c>
      <c r="V10" s="7" t="s">
        <v>88</v>
      </c>
      <c r="W10" s="7" t="s">
        <v>84</v>
      </c>
      <c r="X10" s="7" t="s">
        <v>84</v>
      </c>
      <c r="Y10" s="7" t="s">
        <v>88</v>
      </c>
      <c r="Z10" s="7" t="s">
        <v>88</v>
      </c>
      <c r="AA10" s="7" t="s">
        <v>84</v>
      </c>
      <c r="AB10" s="7" t="s">
        <v>84</v>
      </c>
      <c r="AC10" s="7" t="s">
        <v>88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86</v>
      </c>
      <c r="H11" s="7" t="s">
        <v>84</v>
      </c>
      <c r="I11" s="7" t="s">
        <v>84</v>
      </c>
      <c r="J11" s="7" t="s">
        <v>88</v>
      </c>
      <c r="K11" s="7" t="s">
        <v>84</v>
      </c>
      <c r="L11" s="7" t="s">
        <v>84</v>
      </c>
      <c r="M11" s="7" t="s">
        <v>84</v>
      </c>
      <c r="N11" s="7" t="s">
        <v>84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84</v>
      </c>
      <c r="Y11" s="7" t="s">
        <v>84</v>
      </c>
      <c r="Z11" s="7" t="s">
        <v>84</v>
      </c>
      <c r="AA11" s="7" t="s">
        <v>84</v>
      </c>
      <c r="AB11" s="7" t="s">
        <v>84</v>
      </c>
      <c r="AC11" s="7" t="s">
        <v>88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86</v>
      </c>
      <c r="H12" s="7" t="s">
        <v>84</v>
      </c>
      <c r="I12" s="7" t="s">
        <v>84</v>
      </c>
      <c r="J12" s="7" t="s">
        <v>84</v>
      </c>
      <c r="K12" s="7" t="s">
        <v>84</v>
      </c>
      <c r="L12" s="7" t="s">
        <v>84</v>
      </c>
      <c r="M12" s="7" t="s">
        <v>84</v>
      </c>
      <c r="N12" s="7" t="s">
        <v>84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84</v>
      </c>
      <c r="V12" s="7" t="s">
        <v>84</v>
      </c>
      <c r="W12" s="7" t="s">
        <v>84</v>
      </c>
      <c r="X12" s="7" t="s">
        <v>84</v>
      </c>
      <c r="Y12" s="7" t="s">
        <v>84</v>
      </c>
      <c r="Z12" s="7" t="s">
        <v>84</v>
      </c>
      <c r="AA12" s="7" t="s">
        <v>84</v>
      </c>
      <c r="AB12" s="7" t="s">
        <v>84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16</v>
      </c>
      <c r="H13" s="7" t="s">
        <v>84</v>
      </c>
      <c r="I13" s="7" t="s">
        <v>84</v>
      </c>
      <c r="J13" s="7" t="s">
        <v>84</v>
      </c>
      <c r="K13" s="7" t="s">
        <v>84</v>
      </c>
      <c r="L13" s="7" t="s">
        <v>84</v>
      </c>
      <c r="M13" s="7" t="s">
        <v>84</v>
      </c>
      <c r="N13" s="7" t="s">
        <v>84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84</v>
      </c>
      <c r="V13" s="7" t="s">
        <v>84</v>
      </c>
      <c r="W13" s="7" t="s">
        <v>84</v>
      </c>
      <c r="X13" s="7" t="s">
        <v>84</v>
      </c>
      <c r="Y13" s="7" t="s">
        <v>84</v>
      </c>
      <c r="Z13" s="7" t="s">
        <v>84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84</v>
      </c>
      <c r="G14" s="7" t="s">
        <v>16</v>
      </c>
      <c r="H14" s="7" t="s">
        <v>84</v>
      </c>
      <c r="I14" s="7" t="s">
        <v>84</v>
      </c>
      <c r="J14" s="7" t="s">
        <v>84</v>
      </c>
      <c r="K14" s="7" t="s">
        <v>84</v>
      </c>
      <c r="L14" s="7" t="s">
        <v>88</v>
      </c>
      <c r="M14" s="7" t="s">
        <v>88</v>
      </c>
      <c r="N14" s="7" t="s">
        <v>84</v>
      </c>
      <c r="O14" s="7" t="s">
        <v>84</v>
      </c>
      <c r="P14" s="7" t="s">
        <v>88</v>
      </c>
      <c r="Q14" s="7" t="s">
        <v>88</v>
      </c>
      <c r="R14" s="7" t="s">
        <v>84</v>
      </c>
      <c r="S14" s="7" t="s">
        <v>84</v>
      </c>
      <c r="T14" s="7" t="s">
        <v>88</v>
      </c>
      <c r="U14" s="7" t="s">
        <v>88</v>
      </c>
      <c r="V14" s="7" t="s">
        <v>84</v>
      </c>
      <c r="W14" s="7" t="s">
        <v>84</v>
      </c>
      <c r="X14" s="7" t="s">
        <v>88</v>
      </c>
      <c r="Y14" s="7" t="s">
        <v>88</v>
      </c>
      <c r="Z14" s="7" t="s">
        <v>84</v>
      </c>
      <c r="AA14" s="7" t="s">
        <v>84</v>
      </c>
      <c r="AB14" s="7" t="s">
        <v>88</v>
      </c>
      <c r="AC14" s="7" t="s">
        <v>88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16</v>
      </c>
      <c r="H15" s="7" t="s">
        <v>84</v>
      </c>
      <c r="I15" s="7" t="s">
        <v>84</v>
      </c>
      <c r="J15" s="7" t="s">
        <v>84</v>
      </c>
      <c r="K15" s="7" t="s">
        <v>84</v>
      </c>
      <c r="L15" s="7" t="s">
        <v>84</v>
      </c>
      <c r="M15" s="7" t="s">
        <v>84</v>
      </c>
      <c r="N15" s="7" t="s">
        <v>84</v>
      </c>
      <c r="O15" s="7" t="s">
        <v>84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84</v>
      </c>
      <c r="U15" s="7" t="s">
        <v>84</v>
      </c>
      <c r="V15" s="7" t="s">
        <v>84</v>
      </c>
      <c r="W15" s="7" t="s">
        <v>84</v>
      </c>
      <c r="X15" s="7" t="s">
        <v>84</v>
      </c>
      <c r="Y15" s="7" t="s">
        <v>84</v>
      </c>
      <c r="Z15" s="7" t="s">
        <v>84</v>
      </c>
      <c r="AA15" s="7" t="s">
        <v>84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16</v>
      </c>
      <c r="H16" s="7" t="s">
        <v>84</v>
      </c>
      <c r="I16" s="7" t="s">
        <v>84</v>
      </c>
      <c r="J16" s="7" t="s">
        <v>84</v>
      </c>
      <c r="K16" s="7" t="s">
        <v>84</v>
      </c>
      <c r="L16" s="7" t="s">
        <v>84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84</v>
      </c>
      <c r="R16" s="7" t="s">
        <v>84</v>
      </c>
      <c r="S16" s="7" t="s">
        <v>84</v>
      </c>
      <c r="T16" s="7" t="s">
        <v>84</v>
      </c>
      <c r="U16" s="7" t="s">
        <v>84</v>
      </c>
      <c r="V16" s="7" t="s">
        <v>84</v>
      </c>
      <c r="W16" s="7" t="s">
        <v>84</v>
      </c>
      <c r="X16" s="7" t="s">
        <v>84</v>
      </c>
      <c r="Y16" s="7" t="s">
        <v>84</v>
      </c>
      <c r="Z16" s="7" t="s">
        <v>84</v>
      </c>
      <c r="AA16" s="7" t="s">
        <v>84</v>
      </c>
      <c r="AB16" s="7" t="s">
        <v>84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16</v>
      </c>
      <c r="H17" s="7" t="s">
        <v>88</v>
      </c>
      <c r="I17" s="7" t="s">
        <v>88</v>
      </c>
      <c r="J17" s="7" t="s">
        <v>88</v>
      </c>
      <c r="K17" s="7" t="s">
        <v>88</v>
      </c>
      <c r="L17" s="7" t="s">
        <v>88</v>
      </c>
      <c r="M17" s="7" t="s">
        <v>88</v>
      </c>
      <c r="N17" s="7" t="s">
        <v>88</v>
      </c>
      <c r="O17" s="7" t="s">
        <v>88</v>
      </c>
      <c r="P17" s="7" t="s">
        <v>88</v>
      </c>
      <c r="Q17" s="7" t="s">
        <v>88</v>
      </c>
      <c r="R17" s="7" t="s">
        <v>88</v>
      </c>
      <c r="S17" s="7" t="s">
        <v>88</v>
      </c>
      <c r="T17" s="7" t="s">
        <v>88</v>
      </c>
      <c r="U17" s="7" t="s">
        <v>88</v>
      </c>
      <c r="V17" s="7" t="s">
        <v>88</v>
      </c>
      <c r="W17" s="7" t="s">
        <v>16</v>
      </c>
      <c r="X17" s="7" t="s">
        <v>86</v>
      </c>
      <c r="Y17" s="7" t="s">
        <v>86</v>
      </c>
      <c r="Z17" s="7" t="s">
        <v>86</v>
      </c>
      <c r="AA17" s="7" t="s">
        <v>86</v>
      </c>
      <c r="AB17" s="7" t="s">
        <v>16</v>
      </c>
      <c r="AC17" s="7" t="s">
        <v>88</v>
      </c>
      <c r="AD17" s="7" t="s">
        <v>88</v>
      </c>
      <c r="AE17" s="7" t="s">
        <v>88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84</v>
      </c>
      <c r="K18" s="7" t="s">
        <v>84</v>
      </c>
      <c r="L18" s="7" t="s">
        <v>84</v>
      </c>
      <c r="M18" s="7" t="s">
        <v>84</v>
      </c>
      <c r="N18" s="7" t="s">
        <v>84</v>
      </c>
      <c r="O18" s="7" t="s">
        <v>86</v>
      </c>
      <c r="P18" s="7" t="s">
        <v>84</v>
      </c>
      <c r="Q18" s="7" t="s">
        <v>84</v>
      </c>
      <c r="R18" s="7" t="s">
        <v>84</v>
      </c>
      <c r="S18" s="7" t="s">
        <v>16</v>
      </c>
      <c r="T18" s="7" t="s">
        <v>84</v>
      </c>
      <c r="U18" s="7" t="s">
        <v>84</v>
      </c>
      <c r="V18" s="7" t="s">
        <v>84</v>
      </c>
      <c r="W18" s="7" t="s">
        <v>84</v>
      </c>
      <c r="X18" s="7" t="s">
        <v>84</v>
      </c>
      <c r="Y18" s="7" t="s">
        <v>84</v>
      </c>
      <c r="Z18" s="7" t="s">
        <v>84</v>
      </c>
      <c r="AA18" s="7" t="s">
        <v>84</v>
      </c>
      <c r="AB18" s="7" t="s">
        <v>16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84</v>
      </c>
      <c r="L19" s="7" t="s">
        <v>84</v>
      </c>
      <c r="M19" s="7" t="s">
        <v>84</v>
      </c>
      <c r="N19" s="7" t="s">
        <v>84</v>
      </c>
      <c r="O19" s="7" t="s">
        <v>86</v>
      </c>
      <c r="P19" s="7" t="s">
        <v>84</v>
      </c>
      <c r="Q19" s="7" t="s">
        <v>84</v>
      </c>
      <c r="R19" s="7" t="s">
        <v>84</v>
      </c>
      <c r="S19" s="7" t="s">
        <v>16</v>
      </c>
      <c r="T19" s="7" t="s">
        <v>84</v>
      </c>
      <c r="U19" s="7" t="s">
        <v>84</v>
      </c>
      <c r="V19" s="7" t="s">
        <v>84</v>
      </c>
      <c r="W19" s="7" t="s">
        <v>84</v>
      </c>
      <c r="X19" s="7" t="s">
        <v>84</v>
      </c>
      <c r="Y19" s="7" t="s">
        <v>84</v>
      </c>
      <c r="Z19" s="7" t="s">
        <v>84</v>
      </c>
      <c r="AA19" s="7" t="s">
        <v>84</v>
      </c>
      <c r="AB19" s="7" t="s">
        <v>16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84</v>
      </c>
      <c r="J20" s="7" t="s">
        <v>84</v>
      </c>
      <c r="K20" s="7" t="s">
        <v>84</v>
      </c>
      <c r="L20" s="7" t="s">
        <v>84</v>
      </c>
      <c r="M20" s="7" t="s">
        <v>84</v>
      </c>
      <c r="N20" s="7" t="s">
        <v>84</v>
      </c>
      <c r="O20" s="7" t="s">
        <v>86</v>
      </c>
      <c r="P20" s="7" t="s">
        <v>84</v>
      </c>
      <c r="Q20" s="7" t="s">
        <v>84</v>
      </c>
      <c r="R20" s="7" t="s">
        <v>84</v>
      </c>
      <c r="S20" s="7" t="s">
        <v>16</v>
      </c>
      <c r="T20" s="7" t="s">
        <v>84</v>
      </c>
      <c r="U20" s="7" t="s">
        <v>84</v>
      </c>
      <c r="V20" s="7" t="s">
        <v>84</v>
      </c>
      <c r="W20" s="7" t="s">
        <v>84</v>
      </c>
      <c r="X20" s="7" t="s">
        <v>84</v>
      </c>
      <c r="Y20" s="7" t="s">
        <v>84</v>
      </c>
      <c r="Z20" s="7" t="s">
        <v>84</v>
      </c>
      <c r="AA20" s="7" t="s">
        <v>84</v>
      </c>
      <c r="AB20" s="7" t="s">
        <v>16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84</v>
      </c>
      <c r="G21" s="7" t="s">
        <v>84</v>
      </c>
      <c r="H21" s="7" t="s">
        <v>84</v>
      </c>
      <c r="I21" s="7" t="s">
        <v>16</v>
      </c>
      <c r="J21" s="7" t="s">
        <v>16</v>
      </c>
      <c r="K21" s="7" t="s">
        <v>16</v>
      </c>
      <c r="L21" s="7" t="s">
        <v>16</v>
      </c>
      <c r="M21" s="7" t="s">
        <v>16</v>
      </c>
      <c r="N21" s="7" t="s">
        <v>16</v>
      </c>
      <c r="O21" s="7" t="s">
        <v>16</v>
      </c>
      <c r="P21" s="7" t="s">
        <v>84</v>
      </c>
      <c r="Q21" s="7" t="s">
        <v>84</v>
      </c>
      <c r="R21" s="7" t="s">
        <v>84</v>
      </c>
      <c r="S21" s="7" t="s">
        <v>16</v>
      </c>
      <c r="T21" s="7" t="s">
        <v>84</v>
      </c>
      <c r="U21" s="7" t="s">
        <v>84</v>
      </c>
      <c r="V21" s="7" t="s">
        <v>84</v>
      </c>
      <c r="W21" s="7" t="s">
        <v>84</v>
      </c>
      <c r="X21" s="7" t="s">
        <v>84</v>
      </c>
      <c r="Y21" s="7" t="s">
        <v>84</v>
      </c>
      <c r="Z21" s="7" t="s">
        <v>84</v>
      </c>
      <c r="AA21" s="7" t="s">
        <v>84</v>
      </c>
      <c r="AB21" s="7" t="s">
        <v>16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16</v>
      </c>
      <c r="J22" s="7" t="s">
        <v>84</v>
      </c>
      <c r="K22" s="7" t="s">
        <v>84</v>
      </c>
      <c r="L22" s="7" t="s">
        <v>84</v>
      </c>
      <c r="M22" s="7" t="s">
        <v>84</v>
      </c>
      <c r="N22" s="7" t="s">
        <v>84</v>
      </c>
      <c r="O22" s="7" t="s">
        <v>84</v>
      </c>
      <c r="P22" s="7" t="s">
        <v>84</v>
      </c>
      <c r="Q22" s="7" t="s">
        <v>84</v>
      </c>
      <c r="R22" s="7" t="s">
        <v>84</v>
      </c>
      <c r="S22" s="7" t="s">
        <v>16</v>
      </c>
      <c r="T22" s="7" t="s">
        <v>84</v>
      </c>
      <c r="U22" s="7" t="s">
        <v>84</v>
      </c>
      <c r="V22" s="7" t="s">
        <v>84</v>
      </c>
      <c r="W22" s="7" t="s">
        <v>84</v>
      </c>
      <c r="X22" s="7" t="s">
        <v>84</v>
      </c>
      <c r="Y22" s="7" t="s">
        <v>84</v>
      </c>
      <c r="Z22" s="7" t="s">
        <v>84</v>
      </c>
      <c r="AA22" s="7" t="s">
        <v>84</v>
      </c>
      <c r="AB22" s="7" t="s">
        <v>86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16</v>
      </c>
      <c r="J23" s="7" t="s">
        <v>84</v>
      </c>
      <c r="K23" s="7" t="s">
        <v>84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16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84</v>
      </c>
      <c r="Y23" s="7" t="s">
        <v>84</v>
      </c>
      <c r="Z23" s="7" t="s">
        <v>84</v>
      </c>
      <c r="AA23" s="7" t="s">
        <v>84</v>
      </c>
      <c r="AB23" s="7" t="s">
        <v>86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16</v>
      </c>
      <c r="J24" s="7" t="s">
        <v>84</v>
      </c>
      <c r="K24" s="7" t="s">
        <v>84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86</v>
      </c>
      <c r="Q24" s="7" t="s">
        <v>86</v>
      </c>
      <c r="R24" s="7" t="s">
        <v>86</v>
      </c>
      <c r="S24" s="7" t="s">
        <v>16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84</v>
      </c>
      <c r="Z24" s="7" t="s">
        <v>84</v>
      </c>
      <c r="AA24" s="7" t="s">
        <v>84</v>
      </c>
      <c r="AB24" s="7" t="s">
        <v>86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16</v>
      </c>
      <c r="J25" s="7" t="s">
        <v>84</v>
      </c>
      <c r="K25" s="7" t="s">
        <v>84</v>
      </c>
      <c r="L25" s="7" t="s">
        <v>84</v>
      </c>
      <c r="M25" s="7" t="s">
        <v>84</v>
      </c>
      <c r="N25" s="7" t="s">
        <v>84</v>
      </c>
      <c r="O25" s="7" t="s">
        <v>84</v>
      </c>
      <c r="P25" s="7" t="s">
        <v>84</v>
      </c>
      <c r="Q25" s="7" t="s">
        <v>84</v>
      </c>
      <c r="R25" s="7" t="s">
        <v>84</v>
      </c>
      <c r="S25" s="7" t="s">
        <v>16</v>
      </c>
      <c r="T25" s="7" t="s">
        <v>84</v>
      </c>
      <c r="U25" s="7" t="s">
        <v>84</v>
      </c>
      <c r="V25" s="7" t="s">
        <v>84</v>
      </c>
      <c r="W25" s="7" t="s">
        <v>84</v>
      </c>
      <c r="X25" s="7" t="s">
        <v>16</v>
      </c>
      <c r="Y25" s="7" t="s">
        <v>16</v>
      </c>
      <c r="Z25" s="7" t="s">
        <v>16</v>
      </c>
      <c r="AA25" s="7" t="s">
        <v>16</v>
      </c>
      <c r="AB25" s="7" t="s">
        <v>16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16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84</v>
      </c>
      <c r="S26" s="7" t="s">
        <v>16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16</v>
      </c>
      <c r="Y26" s="7" t="s">
        <v>84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16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16</v>
      </c>
      <c r="R27" s="7" t="s">
        <v>16</v>
      </c>
      <c r="S27" s="7" t="s">
        <v>16</v>
      </c>
      <c r="T27" s="7" t="s">
        <v>84</v>
      </c>
      <c r="U27" s="7" t="s">
        <v>84</v>
      </c>
      <c r="V27" s="7" t="s">
        <v>84</v>
      </c>
      <c r="W27" s="7" t="s">
        <v>84</v>
      </c>
      <c r="X27" s="7" t="s">
        <v>16</v>
      </c>
      <c r="Y27" s="7" t="s">
        <v>84</v>
      </c>
      <c r="Z27" s="7" t="s">
        <v>84</v>
      </c>
      <c r="AA27" s="7" t="s">
        <v>84</v>
      </c>
      <c r="AB27" s="7" t="s">
        <v>84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88</v>
      </c>
      <c r="I28" s="7" t="s">
        <v>88</v>
      </c>
      <c r="J28" s="7" t="s">
        <v>88</v>
      </c>
      <c r="K28" s="7" t="s">
        <v>84</v>
      </c>
      <c r="L28" s="7" t="s">
        <v>84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88</v>
      </c>
      <c r="S28" s="7" t="s">
        <v>88</v>
      </c>
      <c r="T28" s="7" t="s">
        <v>84</v>
      </c>
      <c r="U28" s="7" t="s">
        <v>84</v>
      </c>
      <c r="V28" s="7" t="s">
        <v>84</v>
      </c>
      <c r="W28" s="7" t="s">
        <v>88</v>
      </c>
      <c r="X28" s="7" t="s">
        <v>88</v>
      </c>
      <c r="Y28" s="7" t="s">
        <v>88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88</v>
      </c>
      <c r="I29" s="7" t="s">
        <v>88</v>
      </c>
      <c r="J29" s="7" t="s">
        <v>88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88</v>
      </c>
      <c r="S29" s="7" t="s">
        <v>88</v>
      </c>
      <c r="T29" s="7" t="s">
        <v>84</v>
      </c>
      <c r="U29" s="7" t="s">
        <v>84</v>
      </c>
      <c r="V29" s="7" t="s">
        <v>84</v>
      </c>
      <c r="W29" s="7" t="s">
        <v>88</v>
      </c>
      <c r="X29" s="7" t="s">
        <v>88</v>
      </c>
      <c r="Y29" s="7" t="s">
        <v>88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90</v>
      </c>
      <c r="E30" s="7" t="s">
        <v>84</v>
      </c>
      <c r="F30" s="7" t="s">
        <v>84</v>
      </c>
      <c r="G30" s="7" t="s">
        <v>84</v>
      </c>
      <c r="H30" s="7" t="s">
        <v>88</v>
      </c>
      <c r="I30" s="7" t="s">
        <v>88</v>
      </c>
      <c r="J30" s="7" t="s">
        <v>88</v>
      </c>
      <c r="K30" s="7" t="s">
        <v>84</v>
      </c>
      <c r="L30" s="7" t="s">
        <v>84</v>
      </c>
      <c r="M30" s="7" t="s">
        <v>90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88</v>
      </c>
      <c r="S30" s="7" t="s">
        <v>88</v>
      </c>
      <c r="T30" s="7" t="s">
        <v>84</v>
      </c>
      <c r="U30" s="7" t="s">
        <v>90</v>
      </c>
      <c r="V30" s="7" t="s">
        <v>84</v>
      </c>
      <c r="W30" s="7" t="s">
        <v>88</v>
      </c>
      <c r="X30" s="7" t="s">
        <v>88</v>
      </c>
      <c r="Y30" s="7" t="s">
        <v>88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90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301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300" priority="3" operator="equal">
      <formula>"h"</formula>
    </cfRule>
    <cfRule type="cellIs" dxfId="299" priority="4" operator="equal">
      <formula>"d"</formula>
    </cfRule>
    <cfRule type="cellIs" dxfId="298" priority="5" operator="equal">
      <formula>"o"</formula>
    </cfRule>
    <cfRule type="cellIs" dxfId="297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C2" sqref="C2:AF31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16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84</v>
      </c>
      <c r="R3" s="7" t="s">
        <v>84</v>
      </c>
      <c r="S3" s="7" t="s">
        <v>90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16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16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88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88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16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16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88</v>
      </c>
      <c r="L5" s="7" t="s">
        <v>84</v>
      </c>
      <c r="M5" s="7" t="s">
        <v>84</v>
      </c>
      <c r="N5" s="7" t="s">
        <v>84</v>
      </c>
      <c r="O5" s="7" t="s">
        <v>84</v>
      </c>
      <c r="P5" s="7" t="s">
        <v>84</v>
      </c>
      <c r="Q5" s="7" t="s">
        <v>84</v>
      </c>
      <c r="R5" s="7" t="s">
        <v>84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84</v>
      </c>
      <c r="X5" s="7" t="s">
        <v>88</v>
      </c>
      <c r="Y5" s="7" t="s">
        <v>84</v>
      </c>
      <c r="Z5" s="7" t="s">
        <v>84</v>
      </c>
      <c r="AA5" s="7" t="s">
        <v>84</v>
      </c>
      <c r="AB5" s="7" t="s">
        <v>84</v>
      </c>
      <c r="AC5" s="7" t="s">
        <v>16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88</v>
      </c>
      <c r="H6" s="7" t="s">
        <v>84</v>
      </c>
      <c r="I6" s="7" t="s">
        <v>84</v>
      </c>
      <c r="J6" s="7" t="s">
        <v>84</v>
      </c>
      <c r="K6" s="7" t="s">
        <v>84</v>
      </c>
      <c r="L6" s="7" t="s">
        <v>88</v>
      </c>
      <c r="M6" s="7" t="s">
        <v>88</v>
      </c>
      <c r="N6" s="7" t="s">
        <v>84</v>
      </c>
      <c r="O6" s="7" t="s">
        <v>84</v>
      </c>
      <c r="P6" s="7" t="s">
        <v>84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84</v>
      </c>
      <c r="V6" s="7" t="s">
        <v>88</v>
      </c>
      <c r="W6" s="7" t="s">
        <v>88</v>
      </c>
      <c r="X6" s="7" t="s">
        <v>84</v>
      </c>
      <c r="Y6" s="7" t="s">
        <v>84</v>
      </c>
      <c r="Z6" s="7" t="s">
        <v>84</v>
      </c>
      <c r="AA6" s="7" t="s">
        <v>84</v>
      </c>
      <c r="AB6" s="7" t="s">
        <v>88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84</v>
      </c>
      <c r="H7" s="7" t="s">
        <v>88</v>
      </c>
      <c r="I7" s="7" t="s">
        <v>84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84</v>
      </c>
      <c r="R7" s="7" t="s">
        <v>84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88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88</v>
      </c>
      <c r="J8" s="7" t="s">
        <v>84</v>
      </c>
      <c r="K8" s="7" t="s">
        <v>84</v>
      </c>
      <c r="L8" s="7" t="s">
        <v>84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86</v>
      </c>
      <c r="R8" s="7" t="s">
        <v>86</v>
      </c>
      <c r="S8" s="7" t="s">
        <v>84</v>
      </c>
      <c r="T8" s="7" t="s">
        <v>84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88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84</v>
      </c>
      <c r="H9" s="7" t="s">
        <v>84</v>
      </c>
      <c r="I9" s="7" t="s">
        <v>88</v>
      </c>
      <c r="J9" s="7" t="s">
        <v>16</v>
      </c>
      <c r="K9" s="7" t="s">
        <v>84</v>
      </c>
      <c r="L9" s="7" t="s">
        <v>84</v>
      </c>
      <c r="M9" s="7" t="s">
        <v>84</v>
      </c>
      <c r="N9" s="7" t="s">
        <v>84</v>
      </c>
      <c r="O9" s="7" t="s">
        <v>84</v>
      </c>
      <c r="P9" s="7" t="s">
        <v>86</v>
      </c>
      <c r="Q9" s="7" t="s">
        <v>84</v>
      </c>
      <c r="R9" s="7" t="s">
        <v>84</v>
      </c>
      <c r="S9" s="7" t="s">
        <v>86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16</v>
      </c>
      <c r="Z9" s="7" t="s">
        <v>84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88</v>
      </c>
      <c r="J10" s="7" t="s">
        <v>88</v>
      </c>
      <c r="K10" s="7" t="s">
        <v>16</v>
      </c>
      <c r="L10" s="7" t="s">
        <v>84</v>
      </c>
      <c r="M10" s="7" t="s">
        <v>84</v>
      </c>
      <c r="N10" s="7" t="s">
        <v>84</v>
      </c>
      <c r="O10" s="7" t="s">
        <v>88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88</v>
      </c>
      <c r="U10" s="7" t="s">
        <v>84</v>
      </c>
      <c r="V10" s="7" t="s">
        <v>84</v>
      </c>
      <c r="W10" s="7" t="s">
        <v>84</v>
      </c>
      <c r="X10" s="7" t="s">
        <v>16</v>
      </c>
      <c r="Y10" s="7" t="s">
        <v>84</v>
      </c>
      <c r="Z10" s="7" t="s">
        <v>84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84</v>
      </c>
      <c r="H11" s="7" t="s">
        <v>84</v>
      </c>
      <c r="I11" s="7" t="s">
        <v>86</v>
      </c>
      <c r="J11" s="7" t="s">
        <v>84</v>
      </c>
      <c r="K11" s="7" t="s">
        <v>84</v>
      </c>
      <c r="L11" s="7" t="s">
        <v>88</v>
      </c>
      <c r="M11" s="7" t="s">
        <v>88</v>
      </c>
      <c r="N11" s="7" t="s">
        <v>88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88</v>
      </c>
      <c r="V11" s="7" t="s">
        <v>88</v>
      </c>
      <c r="W11" s="7" t="s">
        <v>88</v>
      </c>
      <c r="X11" s="7" t="s">
        <v>84</v>
      </c>
      <c r="Y11" s="7" t="s">
        <v>84</v>
      </c>
      <c r="Z11" s="7" t="s">
        <v>84</v>
      </c>
      <c r="AA11" s="7" t="s">
        <v>84</v>
      </c>
      <c r="AB11" s="7" t="s">
        <v>84</v>
      </c>
      <c r="AC11" s="7" t="s">
        <v>16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86</v>
      </c>
      <c r="J12" s="7" t="s">
        <v>84</v>
      </c>
      <c r="K12" s="7" t="s">
        <v>84</v>
      </c>
      <c r="L12" s="7" t="s">
        <v>84</v>
      </c>
      <c r="M12" s="7" t="s">
        <v>88</v>
      </c>
      <c r="N12" s="7" t="s">
        <v>88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88</v>
      </c>
      <c r="V12" s="7" t="s">
        <v>88</v>
      </c>
      <c r="W12" s="7" t="s">
        <v>84</v>
      </c>
      <c r="X12" s="7" t="s">
        <v>84</v>
      </c>
      <c r="Y12" s="7" t="s">
        <v>84</v>
      </c>
      <c r="Z12" s="7" t="s">
        <v>84</v>
      </c>
      <c r="AA12" s="7" t="s">
        <v>84</v>
      </c>
      <c r="AB12" s="7" t="s">
        <v>16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16</v>
      </c>
      <c r="J13" s="7" t="s">
        <v>84</v>
      </c>
      <c r="K13" s="7" t="s">
        <v>84</v>
      </c>
      <c r="L13" s="7" t="s">
        <v>84</v>
      </c>
      <c r="M13" s="7" t="s">
        <v>84</v>
      </c>
      <c r="N13" s="7" t="s">
        <v>16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16</v>
      </c>
      <c r="V13" s="7" t="s">
        <v>84</v>
      </c>
      <c r="W13" s="7" t="s">
        <v>84</v>
      </c>
      <c r="X13" s="7" t="s">
        <v>84</v>
      </c>
      <c r="Y13" s="7" t="s">
        <v>84</v>
      </c>
      <c r="Z13" s="7" t="s">
        <v>84</v>
      </c>
      <c r="AA13" s="7" t="s">
        <v>84</v>
      </c>
      <c r="AB13" s="7" t="s">
        <v>16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90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84</v>
      </c>
      <c r="J14" s="7" t="s">
        <v>16</v>
      </c>
      <c r="K14" s="7" t="s">
        <v>84</v>
      </c>
      <c r="L14" s="7" t="s">
        <v>84</v>
      </c>
      <c r="M14" s="7" t="s">
        <v>84</v>
      </c>
      <c r="N14" s="7" t="s">
        <v>84</v>
      </c>
      <c r="O14" s="7" t="s">
        <v>16</v>
      </c>
      <c r="P14" s="7" t="s">
        <v>84</v>
      </c>
      <c r="Q14" s="7" t="s">
        <v>84</v>
      </c>
      <c r="R14" s="7" t="s">
        <v>84</v>
      </c>
      <c r="S14" s="7" t="s">
        <v>84</v>
      </c>
      <c r="T14" s="7" t="s">
        <v>16</v>
      </c>
      <c r="U14" s="7" t="s">
        <v>84</v>
      </c>
      <c r="V14" s="7" t="s">
        <v>84</v>
      </c>
      <c r="W14" s="7" t="s">
        <v>84</v>
      </c>
      <c r="X14" s="7" t="s">
        <v>84</v>
      </c>
      <c r="Y14" s="7" t="s">
        <v>84</v>
      </c>
      <c r="Z14" s="7" t="s">
        <v>84</v>
      </c>
      <c r="AA14" s="7" t="s">
        <v>86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84</v>
      </c>
      <c r="H15" s="7" t="s">
        <v>84</v>
      </c>
      <c r="I15" s="7" t="s">
        <v>84</v>
      </c>
      <c r="J15" s="7" t="s">
        <v>88</v>
      </c>
      <c r="K15" s="7" t="s">
        <v>84</v>
      </c>
      <c r="L15" s="7" t="s">
        <v>84</v>
      </c>
      <c r="M15" s="7" t="s">
        <v>84</v>
      </c>
      <c r="N15" s="7" t="s">
        <v>84</v>
      </c>
      <c r="O15" s="7" t="s">
        <v>84</v>
      </c>
      <c r="P15" s="7" t="s">
        <v>88</v>
      </c>
      <c r="Q15" s="7" t="s">
        <v>84</v>
      </c>
      <c r="R15" s="7" t="s">
        <v>84</v>
      </c>
      <c r="S15" s="7" t="s">
        <v>88</v>
      </c>
      <c r="T15" s="7" t="s">
        <v>84</v>
      </c>
      <c r="U15" s="7" t="s">
        <v>84</v>
      </c>
      <c r="V15" s="7" t="s">
        <v>84</v>
      </c>
      <c r="W15" s="7" t="s">
        <v>88</v>
      </c>
      <c r="X15" s="7" t="s">
        <v>84</v>
      </c>
      <c r="Y15" s="7" t="s">
        <v>84</v>
      </c>
      <c r="Z15" s="7" t="s">
        <v>84</v>
      </c>
      <c r="AA15" s="7" t="s">
        <v>86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88</v>
      </c>
      <c r="J16" s="7" t="s">
        <v>84</v>
      </c>
      <c r="K16" s="7" t="s">
        <v>84</v>
      </c>
      <c r="L16" s="7" t="s">
        <v>84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88</v>
      </c>
      <c r="R16" s="7" t="s">
        <v>88</v>
      </c>
      <c r="S16" s="7" t="s">
        <v>84</v>
      </c>
      <c r="T16" s="7" t="s">
        <v>84</v>
      </c>
      <c r="U16" s="7" t="s">
        <v>84</v>
      </c>
      <c r="V16" s="7" t="s">
        <v>88</v>
      </c>
      <c r="W16" s="7" t="s">
        <v>84</v>
      </c>
      <c r="X16" s="7" t="s">
        <v>84</v>
      </c>
      <c r="Y16" s="7" t="s">
        <v>84</v>
      </c>
      <c r="Z16" s="7" t="s">
        <v>84</v>
      </c>
      <c r="AA16" s="7" t="s">
        <v>84</v>
      </c>
      <c r="AB16" s="7" t="s">
        <v>86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84</v>
      </c>
      <c r="H17" s="7" t="s">
        <v>84</v>
      </c>
      <c r="I17" s="7" t="s">
        <v>86</v>
      </c>
      <c r="J17" s="7" t="s">
        <v>84</v>
      </c>
      <c r="K17" s="7" t="s">
        <v>84</v>
      </c>
      <c r="L17" s="7" t="s">
        <v>84</v>
      </c>
      <c r="M17" s="7" t="s">
        <v>84</v>
      </c>
      <c r="N17" s="7" t="s">
        <v>84</v>
      </c>
      <c r="O17" s="7" t="s">
        <v>84</v>
      </c>
      <c r="P17" s="7" t="s">
        <v>84</v>
      </c>
      <c r="Q17" s="7" t="s">
        <v>88</v>
      </c>
      <c r="R17" s="7" t="s">
        <v>88</v>
      </c>
      <c r="S17" s="7" t="s">
        <v>84</v>
      </c>
      <c r="T17" s="7" t="s">
        <v>84</v>
      </c>
      <c r="U17" s="7" t="s">
        <v>84</v>
      </c>
      <c r="V17" s="7" t="s">
        <v>88</v>
      </c>
      <c r="W17" s="7" t="s">
        <v>84</v>
      </c>
      <c r="X17" s="7" t="s">
        <v>84</v>
      </c>
      <c r="Y17" s="7" t="s">
        <v>84</v>
      </c>
      <c r="Z17" s="7" t="s">
        <v>84</v>
      </c>
      <c r="AA17" s="7" t="s">
        <v>84</v>
      </c>
      <c r="AB17" s="7" t="s">
        <v>84</v>
      </c>
      <c r="AC17" s="7" t="s">
        <v>16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86</v>
      </c>
      <c r="K18" s="7" t="s">
        <v>84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88</v>
      </c>
      <c r="Q18" s="7" t="s">
        <v>84</v>
      </c>
      <c r="R18" s="7" t="s">
        <v>84</v>
      </c>
      <c r="S18" s="7" t="s">
        <v>88</v>
      </c>
      <c r="T18" s="7" t="s">
        <v>84</v>
      </c>
      <c r="U18" s="7" t="s">
        <v>84</v>
      </c>
      <c r="V18" s="7" t="s">
        <v>84</v>
      </c>
      <c r="W18" s="7" t="s">
        <v>88</v>
      </c>
      <c r="X18" s="7" t="s">
        <v>84</v>
      </c>
      <c r="Y18" s="7" t="s">
        <v>84</v>
      </c>
      <c r="Z18" s="7" t="s">
        <v>84</v>
      </c>
      <c r="AA18" s="7" t="s">
        <v>84</v>
      </c>
      <c r="AB18" s="7" t="s">
        <v>84</v>
      </c>
      <c r="AC18" s="7" t="s">
        <v>16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16</v>
      </c>
      <c r="K19" s="7" t="s">
        <v>84</v>
      </c>
      <c r="L19" s="7" t="s">
        <v>84</v>
      </c>
      <c r="M19" s="7" t="s">
        <v>84</v>
      </c>
      <c r="N19" s="7" t="s">
        <v>84</v>
      </c>
      <c r="O19" s="7" t="s">
        <v>16</v>
      </c>
      <c r="P19" s="7" t="s">
        <v>84</v>
      </c>
      <c r="Q19" s="7" t="s">
        <v>84</v>
      </c>
      <c r="R19" s="7" t="s">
        <v>84</v>
      </c>
      <c r="S19" s="7" t="s">
        <v>84</v>
      </c>
      <c r="T19" s="7" t="s">
        <v>16</v>
      </c>
      <c r="U19" s="7" t="s">
        <v>84</v>
      </c>
      <c r="V19" s="7" t="s">
        <v>84</v>
      </c>
      <c r="W19" s="7" t="s">
        <v>84</v>
      </c>
      <c r="X19" s="7" t="s">
        <v>84</v>
      </c>
      <c r="Y19" s="7" t="s">
        <v>84</v>
      </c>
      <c r="Z19" s="7" t="s">
        <v>84</v>
      </c>
      <c r="AA19" s="7" t="s">
        <v>84</v>
      </c>
      <c r="AB19" s="7" t="s">
        <v>86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16</v>
      </c>
      <c r="J20" s="7" t="s">
        <v>84</v>
      </c>
      <c r="K20" s="7" t="s">
        <v>84</v>
      </c>
      <c r="L20" s="7" t="s">
        <v>84</v>
      </c>
      <c r="M20" s="7" t="s">
        <v>84</v>
      </c>
      <c r="N20" s="7" t="s">
        <v>16</v>
      </c>
      <c r="O20" s="7" t="s">
        <v>84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16</v>
      </c>
      <c r="V20" s="7" t="s">
        <v>84</v>
      </c>
      <c r="W20" s="7" t="s">
        <v>84</v>
      </c>
      <c r="X20" s="7" t="s">
        <v>84</v>
      </c>
      <c r="Y20" s="7" t="s">
        <v>84</v>
      </c>
      <c r="Z20" s="7" t="s">
        <v>84</v>
      </c>
      <c r="AA20" s="7" t="s">
        <v>86</v>
      </c>
      <c r="AB20" s="7" t="s">
        <v>84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88</v>
      </c>
      <c r="G21" s="7" t="s">
        <v>88</v>
      </c>
      <c r="H21" s="7" t="s">
        <v>16</v>
      </c>
      <c r="I21" s="7" t="s">
        <v>84</v>
      </c>
      <c r="J21" s="7" t="s">
        <v>84</v>
      </c>
      <c r="K21" s="7" t="s">
        <v>84</v>
      </c>
      <c r="L21" s="7" t="s">
        <v>84</v>
      </c>
      <c r="M21" s="7" t="s">
        <v>88</v>
      </c>
      <c r="N21" s="7" t="s">
        <v>84</v>
      </c>
      <c r="O21" s="7" t="s">
        <v>84</v>
      </c>
      <c r="P21" s="7" t="s">
        <v>84</v>
      </c>
      <c r="Q21" s="7" t="s">
        <v>84</v>
      </c>
      <c r="R21" s="7" t="s">
        <v>84</v>
      </c>
      <c r="S21" s="7" t="s">
        <v>84</v>
      </c>
      <c r="T21" s="7" t="s">
        <v>84</v>
      </c>
      <c r="U21" s="7" t="s">
        <v>84</v>
      </c>
      <c r="V21" s="7" t="s">
        <v>88</v>
      </c>
      <c r="W21" s="7" t="s">
        <v>84</v>
      </c>
      <c r="X21" s="7" t="s">
        <v>84</v>
      </c>
      <c r="Y21" s="7" t="s">
        <v>84</v>
      </c>
      <c r="Z21" s="7" t="s">
        <v>84</v>
      </c>
      <c r="AA21" s="7" t="s">
        <v>86</v>
      </c>
      <c r="AB21" s="7" t="s">
        <v>84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84</v>
      </c>
      <c r="J22" s="7" t="s">
        <v>84</v>
      </c>
      <c r="K22" s="7" t="s">
        <v>84</v>
      </c>
      <c r="L22" s="7" t="s">
        <v>88</v>
      </c>
      <c r="M22" s="7" t="s">
        <v>84</v>
      </c>
      <c r="N22" s="7" t="s">
        <v>84</v>
      </c>
      <c r="O22" s="7" t="s">
        <v>84</v>
      </c>
      <c r="P22" s="7" t="s">
        <v>84</v>
      </c>
      <c r="Q22" s="7" t="s">
        <v>88</v>
      </c>
      <c r="R22" s="7" t="s">
        <v>84</v>
      </c>
      <c r="S22" s="7" t="s">
        <v>84</v>
      </c>
      <c r="T22" s="7" t="s">
        <v>84</v>
      </c>
      <c r="U22" s="7" t="s">
        <v>84</v>
      </c>
      <c r="V22" s="7" t="s">
        <v>84</v>
      </c>
      <c r="W22" s="7" t="s">
        <v>88</v>
      </c>
      <c r="X22" s="7" t="s">
        <v>84</v>
      </c>
      <c r="Y22" s="7" t="s">
        <v>84</v>
      </c>
      <c r="Z22" s="7" t="s">
        <v>84</v>
      </c>
      <c r="AA22" s="7" t="s">
        <v>84</v>
      </c>
      <c r="AB22" s="7" t="s">
        <v>84</v>
      </c>
      <c r="AC22" s="7" t="s">
        <v>84</v>
      </c>
      <c r="AD22" s="7" t="s">
        <v>84</v>
      </c>
      <c r="AE22" s="7" t="s">
        <v>90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16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88</v>
      </c>
      <c r="S23" s="7" t="s">
        <v>84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16</v>
      </c>
      <c r="Y23" s="7" t="s">
        <v>84</v>
      </c>
      <c r="Z23" s="7" t="s">
        <v>84</v>
      </c>
      <c r="AA23" s="7" t="s">
        <v>84</v>
      </c>
      <c r="AB23" s="7" t="s">
        <v>84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84</v>
      </c>
      <c r="J24" s="7" t="s">
        <v>16</v>
      </c>
      <c r="K24" s="7" t="s">
        <v>84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84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16</v>
      </c>
      <c r="Z24" s="7" t="s">
        <v>84</v>
      </c>
      <c r="AA24" s="7" t="s">
        <v>84</v>
      </c>
      <c r="AB24" s="7" t="s">
        <v>84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88</v>
      </c>
      <c r="J25" s="7" t="s">
        <v>84</v>
      </c>
      <c r="K25" s="7" t="s">
        <v>84</v>
      </c>
      <c r="L25" s="7" t="s">
        <v>84</v>
      </c>
      <c r="M25" s="7" t="s">
        <v>84</v>
      </c>
      <c r="N25" s="7" t="s">
        <v>84</v>
      </c>
      <c r="O25" s="7" t="s">
        <v>84</v>
      </c>
      <c r="P25" s="7" t="s">
        <v>84</v>
      </c>
      <c r="Q25" s="7" t="s">
        <v>84</v>
      </c>
      <c r="R25" s="7" t="s">
        <v>84</v>
      </c>
      <c r="S25" s="7" t="s">
        <v>84</v>
      </c>
      <c r="T25" s="7" t="s">
        <v>84</v>
      </c>
      <c r="U25" s="7" t="s">
        <v>84</v>
      </c>
      <c r="V25" s="7" t="s">
        <v>84</v>
      </c>
      <c r="W25" s="7" t="s">
        <v>84</v>
      </c>
      <c r="X25" s="7" t="s">
        <v>84</v>
      </c>
      <c r="Y25" s="7" t="s">
        <v>84</v>
      </c>
      <c r="Z25" s="7" t="s">
        <v>88</v>
      </c>
      <c r="AA25" s="7" t="s">
        <v>84</v>
      </c>
      <c r="AB25" s="7" t="s">
        <v>84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88</v>
      </c>
      <c r="I26" s="7" t="s">
        <v>84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16</v>
      </c>
      <c r="Q26" s="7" t="s">
        <v>16</v>
      </c>
      <c r="R26" s="7" t="s">
        <v>86</v>
      </c>
      <c r="S26" s="7" t="s">
        <v>86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88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88</v>
      </c>
      <c r="H27" s="7" t="s">
        <v>84</v>
      </c>
      <c r="I27" s="7" t="s">
        <v>84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84</v>
      </c>
      <c r="O27" s="7" t="s">
        <v>86</v>
      </c>
      <c r="P27" s="7" t="s">
        <v>84</v>
      </c>
      <c r="Q27" s="7" t="s">
        <v>84</v>
      </c>
      <c r="R27" s="7" t="s">
        <v>84</v>
      </c>
      <c r="S27" s="7" t="s">
        <v>84</v>
      </c>
      <c r="T27" s="7" t="s">
        <v>86</v>
      </c>
      <c r="U27" s="7" t="s">
        <v>84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88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16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84</v>
      </c>
      <c r="L28" s="7" t="s">
        <v>84</v>
      </c>
      <c r="M28" s="7" t="s">
        <v>84</v>
      </c>
      <c r="N28" s="7" t="s">
        <v>86</v>
      </c>
      <c r="O28" s="7" t="s">
        <v>84</v>
      </c>
      <c r="P28" s="7" t="s">
        <v>84</v>
      </c>
      <c r="Q28" s="7" t="s">
        <v>84</v>
      </c>
      <c r="R28" s="7" t="s">
        <v>84</v>
      </c>
      <c r="S28" s="7" t="s">
        <v>84</v>
      </c>
      <c r="T28" s="7" t="s">
        <v>84</v>
      </c>
      <c r="U28" s="7" t="s">
        <v>86</v>
      </c>
      <c r="V28" s="7" t="s">
        <v>84</v>
      </c>
      <c r="W28" s="7" t="s">
        <v>84</v>
      </c>
      <c r="X28" s="7" t="s">
        <v>84</v>
      </c>
      <c r="Y28" s="7" t="s">
        <v>84</v>
      </c>
      <c r="Z28" s="7" t="s">
        <v>84</v>
      </c>
      <c r="AA28" s="7" t="s">
        <v>84</v>
      </c>
      <c r="AB28" s="7" t="s">
        <v>84</v>
      </c>
      <c r="AC28" s="7" t="s">
        <v>16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16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84</v>
      </c>
      <c r="S29" s="7" t="s">
        <v>84</v>
      </c>
      <c r="T29" s="7" t="s">
        <v>84</v>
      </c>
      <c r="U29" s="7" t="s">
        <v>88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16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16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90</v>
      </c>
      <c r="S30" s="7" t="s">
        <v>84</v>
      </c>
      <c r="T30" s="7" t="s">
        <v>84</v>
      </c>
      <c r="U30" s="7" t="s">
        <v>88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16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296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295" priority="3" operator="equal">
      <formula>"h"</formula>
    </cfRule>
    <cfRule type="cellIs" dxfId="294" priority="4" operator="equal">
      <formula>"d"</formula>
    </cfRule>
    <cfRule type="cellIs" dxfId="293" priority="5" operator="equal">
      <formula>"o"</formula>
    </cfRule>
    <cfRule type="cellIs" dxfId="292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AB33" sqref="AB33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90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16</v>
      </c>
      <c r="Q3" s="7" t="s">
        <v>84</v>
      </c>
      <c r="R3" s="7" t="s">
        <v>84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90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16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88</v>
      </c>
      <c r="E5" s="7" t="s">
        <v>88</v>
      </c>
      <c r="F5" s="7" t="s">
        <v>88</v>
      </c>
      <c r="G5" s="7" t="s">
        <v>88</v>
      </c>
      <c r="H5" s="7" t="s">
        <v>88</v>
      </c>
      <c r="I5" s="7" t="s">
        <v>16</v>
      </c>
      <c r="J5" s="7" t="s">
        <v>16</v>
      </c>
      <c r="K5" s="7" t="s">
        <v>16</v>
      </c>
      <c r="L5" s="7" t="s">
        <v>16</v>
      </c>
      <c r="M5" s="7" t="s">
        <v>16</v>
      </c>
      <c r="N5" s="7" t="s">
        <v>84</v>
      </c>
      <c r="O5" s="7" t="s">
        <v>84</v>
      </c>
      <c r="P5" s="7" t="s">
        <v>16</v>
      </c>
      <c r="Q5" s="7" t="s">
        <v>86</v>
      </c>
      <c r="R5" s="7" t="s">
        <v>86</v>
      </c>
      <c r="S5" s="7" t="s">
        <v>16</v>
      </c>
      <c r="T5" s="7" t="s">
        <v>16</v>
      </c>
      <c r="U5" s="7" t="s">
        <v>16</v>
      </c>
      <c r="V5" s="7" t="s">
        <v>16</v>
      </c>
      <c r="W5" s="7" t="s">
        <v>16</v>
      </c>
      <c r="X5" s="7" t="s">
        <v>16</v>
      </c>
      <c r="Y5" s="7" t="s">
        <v>16</v>
      </c>
      <c r="Z5" s="7" t="s">
        <v>16</v>
      </c>
      <c r="AA5" s="7" t="s">
        <v>16</v>
      </c>
      <c r="AB5" s="7" t="s">
        <v>88</v>
      </c>
      <c r="AC5" s="7" t="s">
        <v>84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86</v>
      </c>
      <c r="G6" s="7" t="s">
        <v>86</v>
      </c>
      <c r="H6" s="7" t="s">
        <v>86</v>
      </c>
      <c r="I6" s="7" t="s">
        <v>88</v>
      </c>
      <c r="J6" s="7" t="s">
        <v>84</v>
      </c>
      <c r="K6" s="7" t="s">
        <v>84</v>
      </c>
      <c r="L6" s="7" t="s">
        <v>84</v>
      </c>
      <c r="M6" s="7" t="s">
        <v>84</v>
      </c>
      <c r="N6" s="7" t="s">
        <v>84</v>
      </c>
      <c r="O6" s="7" t="s">
        <v>84</v>
      </c>
      <c r="P6" s="7" t="s">
        <v>84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84</v>
      </c>
      <c r="X6" s="7" t="s">
        <v>84</v>
      </c>
      <c r="Y6" s="7" t="s">
        <v>84</v>
      </c>
      <c r="Z6" s="7" t="s">
        <v>84</v>
      </c>
      <c r="AA6" s="7" t="s">
        <v>84</v>
      </c>
      <c r="AB6" s="7" t="s">
        <v>88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86</v>
      </c>
      <c r="G7" s="7" t="s">
        <v>86</v>
      </c>
      <c r="H7" s="7" t="s">
        <v>86</v>
      </c>
      <c r="I7" s="7" t="s">
        <v>88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84</v>
      </c>
      <c r="R7" s="7" t="s">
        <v>84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88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88</v>
      </c>
      <c r="J8" s="7" t="s">
        <v>88</v>
      </c>
      <c r="K8" s="7" t="s">
        <v>16</v>
      </c>
      <c r="L8" s="7" t="s">
        <v>16</v>
      </c>
      <c r="M8" s="7" t="s">
        <v>16</v>
      </c>
      <c r="N8" s="7" t="s">
        <v>16</v>
      </c>
      <c r="O8" s="7" t="s">
        <v>16</v>
      </c>
      <c r="P8" s="7" t="s">
        <v>16</v>
      </c>
      <c r="Q8" s="7" t="s">
        <v>86</v>
      </c>
      <c r="R8" s="7" t="s">
        <v>86</v>
      </c>
      <c r="S8" s="7" t="s">
        <v>16</v>
      </c>
      <c r="T8" s="7" t="s">
        <v>16</v>
      </c>
      <c r="U8" s="7" t="s">
        <v>16</v>
      </c>
      <c r="V8" s="7" t="s">
        <v>84</v>
      </c>
      <c r="W8" s="7" t="s">
        <v>84</v>
      </c>
      <c r="X8" s="7" t="s">
        <v>16</v>
      </c>
      <c r="Y8" s="7" t="s">
        <v>16</v>
      </c>
      <c r="Z8" s="7" t="s">
        <v>16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84</v>
      </c>
      <c r="H9" s="7" t="s">
        <v>84</v>
      </c>
      <c r="I9" s="7" t="s">
        <v>88</v>
      </c>
      <c r="J9" s="7" t="s">
        <v>88</v>
      </c>
      <c r="K9" s="7" t="s">
        <v>84</v>
      </c>
      <c r="L9" s="7" t="s">
        <v>84</v>
      </c>
      <c r="M9" s="7" t="s">
        <v>84</v>
      </c>
      <c r="N9" s="7" t="s">
        <v>84</v>
      </c>
      <c r="O9" s="7" t="s">
        <v>84</v>
      </c>
      <c r="P9" s="7" t="s">
        <v>84</v>
      </c>
      <c r="Q9" s="7" t="s">
        <v>84</v>
      </c>
      <c r="R9" s="7" t="s">
        <v>84</v>
      </c>
      <c r="S9" s="7" t="s">
        <v>84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16</v>
      </c>
      <c r="AA9" s="7" t="s">
        <v>84</v>
      </c>
      <c r="AB9" s="7" t="s">
        <v>84</v>
      </c>
      <c r="AC9" s="7" t="s">
        <v>84</v>
      </c>
      <c r="AD9" s="7" t="s">
        <v>88</v>
      </c>
      <c r="AE9" s="7" t="s">
        <v>88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16</v>
      </c>
      <c r="G10" s="7" t="s">
        <v>84</v>
      </c>
      <c r="H10" s="7" t="s">
        <v>84</v>
      </c>
      <c r="I10" s="7" t="s">
        <v>16</v>
      </c>
      <c r="J10" s="7" t="s">
        <v>84</v>
      </c>
      <c r="K10" s="7" t="s">
        <v>88</v>
      </c>
      <c r="L10" s="7" t="s">
        <v>84</v>
      </c>
      <c r="M10" s="7" t="s">
        <v>84</v>
      </c>
      <c r="N10" s="7" t="s">
        <v>84</v>
      </c>
      <c r="O10" s="7" t="s">
        <v>84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84</v>
      </c>
      <c r="Y10" s="7" t="s">
        <v>84</v>
      </c>
      <c r="Z10" s="7" t="s">
        <v>16</v>
      </c>
      <c r="AA10" s="7" t="s">
        <v>84</v>
      </c>
      <c r="AB10" s="7" t="s">
        <v>84</v>
      </c>
      <c r="AC10" s="7" t="s">
        <v>16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16</v>
      </c>
      <c r="G11" s="7" t="s">
        <v>84</v>
      </c>
      <c r="H11" s="7" t="s">
        <v>84</v>
      </c>
      <c r="I11" s="7" t="s">
        <v>16</v>
      </c>
      <c r="J11" s="7" t="s">
        <v>84</v>
      </c>
      <c r="K11" s="7" t="s">
        <v>84</v>
      </c>
      <c r="L11" s="7" t="s">
        <v>88</v>
      </c>
      <c r="M11" s="7" t="s">
        <v>88</v>
      </c>
      <c r="N11" s="7" t="s">
        <v>88</v>
      </c>
      <c r="O11" s="7" t="s">
        <v>84</v>
      </c>
      <c r="P11" s="7" t="s">
        <v>84</v>
      </c>
      <c r="Q11" s="7" t="s">
        <v>86</v>
      </c>
      <c r="R11" s="7" t="s">
        <v>86</v>
      </c>
      <c r="S11" s="7" t="s">
        <v>16</v>
      </c>
      <c r="T11" s="7" t="s">
        <v>16</v>
      </c>
      <c r="U11" s="7" t="s">
        <v>16</v>
      </c>
      <c r="V11" s="7" t="s">
        <v>88</v>
      </c>
      <c r="W11" s="7" t="s">
        <v>88</v>
      </c>
      <c r="X11" s="7" t="s">
        <v>84</v>
      </c>
      <c r="Y11" s="7" t="s">
        <v>84</v>
      </c>
      <c r="Z11" s="7" t="s">
        <v>84</v>
      </c>
      <c r="AA11" s="7" t="s">
        <v>84</v>
      </c>
      <c r="AB11" s="7" t="s">
        <v>84</v>
      </c>
      <c r="AC11" s="7" t="s">
        <v>16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16</v>
      </c>
      <c r="G12" s="7" t="s">
        <v>84</v>
      </c>
      <c r="H12" s="7" t="s">
        <v>84</v>
      </c>
      <c r="I12" s="7" t="s">
        <v>16</v>
      </c>
      <c r="J12" s="7" t="s">
        <v>84</v>
      </c>
      <c r="K12" s="7" t="s">
        <v>84</v>
      </c>
      <c r="L12" s="7" t="s">
        <v>88</v>
      </c>
      <c r="M12" s="7" t="s">
        <v>84</v>
      </c>
      <c r="N12" s="7" t="s">
        <v>84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84</v>
      </c>
      <c r="V12" s="7" t="s">
        <v>84</v>
      </c>
      <c r="W12" s="7" t="s">
        <v>88</v>
      </c>
      <c r="X12" s="7" t="s">
        <v>84</v>
      </c>
      <c r="Y12" s="7" t="s">
        <v>84</v>
      </c>
      <c r="Z12" s="7" t="s">
        <v>84</v>
      </c>
      <c r="AA12" s="7" t="s">
        <v>84</v>
      </c>
      <c r="AB12" s="7" t="s">
        <v>84</v>
      </c>
      <c r="AC12" s="7" t="s">
        <v>16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16</v>
      </c>
      <c r="G13" s="7" t="s">
        <v>84</v>
      </c>
      <c r="H13" s="7" t="s">
        <v>84</v>
      </c>
      <c r="I13" s="7" t="s">
        <v>16</v>
      </c>
      <c r="J13" s="7" t="s">
        <v>84</v>
      </c>
      <c r="K13" s="7" t="s">
        <v>84</v>
      </c>
      <c r="L13" s="7" t="s">
        <v>16</v>
      </c>
      <c r="M13" s="7" t="s">
        <v>84</v>
      </c>
      <c r="N13" s="7" t="s">
        <v>84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84</v>
      </c>
      <c r="V13" s="7" t="s">
        <v>84</v>
      </c>
      <c r="W13" s="7" t="s">
        <v>16</v>
      </c>
      <c r="X13" s="7" t="s">
        <v>84</v>
      </c>
      <c r="Y13" s="7" t="s">
        <v>84</v>
      </c>
      <c r="Z13" s="7" t="s">
        <v>16</v>
      </c>
      <c r="AA13" s="7" t="s">
        <v>16</v>
      </c>
      <c r="AB13" s="7" t="s">
        <v>16</v>
      </c>
      <c r="AC13" s="7" t="s">
        <v>16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16</v>
      </c>
      <c r="G14" s="7" t="s">
        <v>84</v>
      </c>
      <c r="H14" s="7" t="s">
        <v>84</v>
      </c>
      <c r="I14" s="7" t="s">
        <v>16</v>
      </c>
      <c r="J14" s="7" t="s">
        <v>84</v>
      </c>
      <c r="K14" s="7" t="s">
        <v>84</v>
      </c>
      <c r="L14" s="7" t="s">
        <v>16</v>
      </c>
      <c r="M14" s="7" t="s">
        <v>84</v>
      </c>
      <c r="N14" s="7" t="s">
        <v>84</v>
      </c>
      <c r="O14" s="7" t="s">
        <v>16</v>
      </c>
      <c r="P14" s="7" t="s">
        <v>16</v>
      </c>
      <c r="Q14" s="7" t="s">
        <v>88</v>
      </c>
      <c r="R14" s="7" t="s">
        <v>88</v>
      </c>
      <c r="S14" s="7" t="s">
        <v>16</v>
      </c>
      <c r="T14" s="7" t="s">
        <v>16</v>
      </c>
      <c r="U14" s="7" t="s">
        <v>84</v>
      </c>
      <c r="V14" s="7" t="s">
        <v>84</v>
      </c>
      <c r="W14" s="7" t="s">
        <v>16</v>
      </c>
      <c r="X14" s="7" t="s">
        <v>84</v>
      </c>
      <c r="Y14" s="7" t="s">
        <v>84</v>
      </c>
      <c r="Z14" s="7" t="s">
        <v>16</v>
      </c>
      <c r="AA14" s="7" t="s">
        <v>84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16</v>
      </c>
      <c r="G15" s="7" t="s">
        <v>84</v>
      </c>
      <c r="H15" s="7" t="s">
        <v>84</v>
      </c>
      <c r="I15" s="7" t="s">
        <v>16</v>
      </c>
      <c r="J15" s="7" t="s">
        <v>84</v>
      </c>
      <c r="K15" s="7" t="s">
        <v>84</v>
      </c>
      <c r="L15" s="7" t="s">
        <v>16</v>
      </c>
      <c r="M15" s="7" t="s">
        <v>84</v>
      </c>
      <c r="N15" s="7" t="s">
        <v>84</v>
      </c>
      <c r="O15" s="7" t="s">
        <v>16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16</v>
      </c>
      <c r="U15" s="7" t="s">
        <v>84</v>
      </c>
      <c r="V15" s="7" t="s">
        <v>84</v>
      </c>
      <c r="W15" s="7" t="s">
        <v>16</v>
      </c>
      <c r="X15" s="7" t="s">
        <v>84</v>
      </c>
      <c r="Y15" s="7" t="s">
        <v>84</v>
      </c>
      <c r="Z15" s="7" t="s">
        <v>16</v>
      </c>
      <c r="AA15" s="7" t="s">
        <v>84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88</v>
      </c>
      <c r="G16" s="7" t="s">
        <v>84</v>
      </c>
      <c r="H16" s="7" t="s">
        <v>84</v>
      </c>
      <c r="I16" s="7" t="s">
        <v>86</v>
      </c>
      <c r="J16" s="7" t="s">
        <v>84</v>
      </c>
      <c r="K16" s="7" t="s">
        <v>84</v>
      </c>
      <c r="L16" s="7" t="s">
        <v>86</v>
      </c>
      <c r="M16" s="7" t="s">
        <v>84</v>
      </c>
      <c r="N16" s="7" t="s">
        <v>84</v>
      </c>
      <c r="O16" s="7" t="s">
        <v>86</v>
      </c>
      <c r="P16" s="7" t="s">
        <v>84</v>
      </c>
      <c r="Q16" s="7" t="s">
        <v>84</v>
      </c>
      <c r="R16" s="7" t="s">
        <v>84</v>
      </c>
      <c r="S16" s="7" t="s">
        <v>84</v>
      </c>
      <c r="T16" s="7" t="s">
        <v>86</v>
      </c>
      <c r="U16" s="7" t="s">
        <v>84</v>
      </c>
      <c r="V16" s="7" t="s">
        <v>84</v>
      </c>
      <c r="W16" s="7" t="s">
        <v>88</v>
      </c>
      <c r="X16" s="7" t="s">
        <v>84</v>
      </c>
      <c r="Y16" s="7" t="s">
        <v>84</v>
      </c>
      <c r="Z16" s="7" t="s">
        <v>86</v>
      </c>
      <c r="AA16" s="7" t="s">
        <v>84</v>
      </c>
      <c r="AB16" s="7" t="s">
        <v>84</v>
      </c>
      <c r="AC16" s="7" t="s">
        <v>86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88</v>
      </c>
      <c r="G17" s="7" t="s">
        <v>84</v>
      </c>
      <c r="H17" s="7" t="s">
        <v>84</v>
      </c>
      <c r="I17" s="7" t="s">
        <v>86</v>
      </c>
      <c r="J17" s="7" t="s">
        <v>84</v>
      </c>
      <c r="K17" s="7" t="s">
        <v>84</v>
      </c>
      <c r="L17" s="7" t="s">
        <v>86</v>
      </c>
      <c r="M17" s="7" t="s">
        <v>84</v>
      </c>
      <c r="N17" s="7" t="s">
        <v>84</v>
      </c>
      <c r="O17" s="7" t="s">
        <v>86</v>
      </c>
      <c r="P17" s="7" t="s">
        <v>84</v>
      </c>
      <c r="Q17" s="7" t="s">
        <v>84</v>
      </c>
      <c r="R17" s="7" t="s">
        <v>84</v>
      </c>
      <c r="S17" s="7" t="s">
        <v>84</v>
      </c>
      <c r="T17" s="7" t="s">
        <v>86</v>
      </c>
      <c r="U17" s="7" t="s">
        <v>84</v>
      </c>
      <c r="V17" s="7" t="s">
        <v>84</v>
      </c>
      <c r="W17" s="7" t="s">
        <v>88</v>
      </c>
      <c r="X17" s="7" t="s">
        <v>84</v>
      </c>
      <c r="Y17" s="7" t="s">
        <v>84</v>
      </c>
      <c r="Z17" s="7" t="s">
        <v>86</v>
      </c>
      <c r="AA17" s="7" t="s">
        <v>84</v>
      </c>
      <c r="AB17" s="7" t="s">
        <v>84</v>
      </c>
      <c r="AC17" s="7" t="s">
        <v>86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16</v>
      </c>
      <c r="G18" s="7" t="s">
        <v>84</v>
      </c>
      <c r="H18" s="7" t="s">
        <v>84</v>
      </c>
      <c r="I18" s="7" t="s">
        <v>16</v>
      </c>
      <c r="J18" s="7" t="s">
        <v>84</v>
      </c>
      <c r="K18" s="7" t="s">
        <v>84</v>
      </c>
      <c r="L18" s="7" t="s">
        <v>16</v>
      </c>
      <c r="M18" s="7" t="s">
        <v>84</v>
      </c>
      <c r="N18" s="7" t="s">
        <v>84</v>
      </c>
      <c r="O18" s="7" t="s">
        <v>88</v>
      </c>
      <c r="P18" s="7" t="s">
        <v>84</v>
      </c>
      <c r="Q18" s="7" t="s">
        <v>84</v>
      </c>
      <c r="R18" s="7" t="s">
        <v>84</v>
      </c>
      <c r="S18" s="7" t="s">
        <v>84</v>
      </c>
      <c r="T18" s="7" t="s">
        <v>88</v>
      </c>
      <c r="U18" s="7" t="s">
        <v>84</v>
      </c>
      <c r="V18" s="7" t="s">
        <v>84</v>
      </c>
      <c r="W18" s="7" t="s">
        <v>16</v>
      </c>
      <c r="X18" s="7" t="s">
        <v>84</v>
      </c>
      <c r="Y18" s="7" t="s">
        <v>84</v>
      </c>
      <c r="Z18" s="7" t="s">
        <v>16</v>
      </c>
      <c r="AA18" s="7" t="s">
        <v>84</v>
      </c>
      <c r="AB18" s="7" t="s">
        <v>84</v>
      </c>
      <c r="AC18" s="7" t="s">
        <v>16</v>
      </c>
      <c r="AD18" s="7" t="s">
        <v>88</v>
      </c>
      <c r="AE18" s="7" t="s">
        <v>88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16</v>
      </c>
      <c r="G19" s="7" t="s">
        <v>84</v>
      </c>
      <c r="H19" s="7" t="s">
        <v>84</v>
      </c>
      <c r="I19" s="7" t="s">
        <v>16</v>
      </c>
      <c r="J19" s="7" t="s">
        <v>84</v>
      </c>
      <c r="K19" s="7" t="s">
        <v>84</v>
      </c>
      <c r="L19" s="7" t="s">
        <v>16</v>
      </c>
      <c r="M19" s="7" t="s">
        <v>84</v>
      </c>
      <c r="N19" s="7" t="s">
        <v>84</v>
      </c>
      <c r="O19" s="7" t="s">
        <v>88</v>
      </c>
      <c r="P19" s="7" t="s">
        <v>88</v>
      </c>
      <c r="Q19" s="7" t="s">
        <v>86</v>
      </c>
      <c r="R19" s="7" t="s">
        <v>86</v>
      </c>
      <c r="S19" s="7" t="s">
        <v>88</v>
      </c>
      <c r="T19" s="7" t="s">
        <v>88</v>
      </c>
      <c r="U19" s="7" t="s">
        <v>84</v>
      </c>
      <c r="V19" s="7" t="s">
        <v>84</v>
      </c>
      <c r="W19" s="7" t="s">
        <v>16</v>
      </c>
      <c r="X19" s="7" t="s">
        <v>84</v>
      </c>
      <c r="Y19" s="7" t="s">
        <v>84</v>
      </c>
      <c r="Z19" s="7" t="s">
        <v>16</v>
      </c>
      <c r="AA19" s="7" t="s">
        <v>84</v>
      </c>
      <c r="AB19" s="7" t="s">
        <v>84</v>
      </c>
      <c r="AC19" s="7" t="s">
        <v>16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16</v>
      </c>
      <c r="G20" s="7" t="s">
        <v>84</v>
      </c>
      <c r="H20" s="7" t="s">
        <v>84</v>
      </c>
      <c r="I20" s="7" t="s">
        <v>16</v>
      </c>
      <c r="J20" s="7" t="s">
        <v>84</v>
      </c>
      <c r="K20" s="7" t="s">
        <v>84</v>
      </c>
      <c r="L20" s="7" t="s">
        <v>16</v>
      </c>
      <c r="M20" s="7" t="s">
        <v>84</v>
      </c>
      <c r="N20" s="7" t="s">
        <v>84</v>
      </c>
      <c r="O20" s="7" t="s">
        <v>84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84</v>
      </c>
      <c r="V20" s="7" t="s">
        <v>84</v>
      </c>
      <c r="W20" s="7" t="s">
        <v>16</v>
      </c>
      <c r="X20" s="7" t="s">
        <v>84</v>
      </c>
      <c r="Y20" s="7" t="s">
        <v>84</v>
      </c>
      <c r="Z20" s="7" t="s">
        <v>16</v>
      </c>
      <c r="AA20" s="7" t="s">
        <v>84</v>
      </c>
      <c r="AB20" s="7" t="s">
        <v>84</v>
      </c>
      <c r="AC20" s="7" t="s">
        <v>16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16</v>
      </c>
      <c r="G21" s="7" t="s">
        <v>84</v>
      </c>
      <c r="H21" s="7" t="s">
        <v>84</v>
      </c>
      <c r="I21" s="7" t="s">
        <v>16</v>
      </c>
      <c r="J21" s="7" t="s">
        <v>84</v>
      </c>
      <c r="K21" s="7" t="s">
        <v>84</v>
      </c>
      <c r="L21" s="7" t="s">
        <v>88</v>
      </c>
      <c r="M21" s="7" t="s">
        <v>84</v>
      </c>
      <c r="N21" s="7" t="s">
        <v>84</v>
      </c>
      <c r="O21" s="7" t="s">
        <v>84</v>
      </c>
      <c r="P21" s="7" t="s">
        <v>84</v>
      </c>
      <c r="Q21" s="7" t="s">
        <v>84</v>
      </c>
      <c r="R21" s="7" t="s">
        <v>84</v>
      </c>
      <c r="S21" s="7" t="s">
        <v>84</v>
      </c>
      <c r="T21" s="7" t="s">
        <v>84</v>
      </c>
      <c r="U21" s="7" t="s">
        <v>84</v>
      </c>
      <c r="V21" s="7" t="s">
        <v>84</v>
      </c>
      <c r="W21" s="7" t="s">
        <v>88</v>
      </c>
      <c r="X21" s="7" t="s">
        <v>84</v>
      </c>
      <c r="Y21" s="7" t="s">
        <v>84</v>
      </c>
      <c r="Z21" s="7" t="s">
        <v>16</v>
      </c>
      <c r="AA21" s="7" t="s">
        <v>84</v>
      </c>
      <c r="AB21" s="7" t="s">
        <v>84</v>
      </c>
      <c r="AC21" s="7" t="s">
        <v>16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16</v>
      </c>
      <c r="G22" s="7" t="s">
        <v>84</v>
      </c>
      <c r="H22" s="7" t="s">
        <v>84</v>
      </c>
      <c r="I22" s="7" t="s">
        <v>16</v>
      </c>
      <c r="J22" s="7" t="s">
        <v>84</v>
      </c>
      <c r="K22" s="7" t="s">
        <v>84</v>
      </c>
      <c r="L22" s="7" t="s">
        <v>88</v>
      </c>
      <c r="M22" s="7" t="s">
        <v>88</v>
      </c>
      <c r="N22" s="7" t="s">
        <v>16</v>
      </c>
      <c r="O22" s="7" t="s">
        <v>16</v>
      </c>
      <c r="P22" s="7" t="s">
        <v>16</v>
      </c>
      <c r="Q22" s="7" t="s">
        <v>86</v>
      </c>
      <c r="R22" s="7" t="s">
        <v>86</v>
      </c>
      <c r="S22" s="7" t="s">
        <v>84</v>
      </c>
      <c r="T22" s="7" t="s">
        <v>84</v>
      </c>
      <c r="U22" s="7" t="s">
        <v>88</v>
      </c>
      <c r="V22" s="7" t="s">
        <v>88</v>
      </c>
      <c r="W22" s="7" t="s">
        <v>88</v>
      </c>
      <c r="X22" s="7" t="s">
        <v>84</v>
      </c>
      <c r="Y22" s="7" t="s">
        <v>84</v>
      </c>
      <c r="Z22" s="7" t="s">
        <v>16</v>
      </c>
      <c r="AA22" s="7" t="s">
        <v>84</v>
      </c>
      <c r="AB22" s="7" t="s">
        <v>84</v>
      </c>
      <c r="AC22" s="7" t="s">
        <v>16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16</v>
      </c>
      <c r="G23" s="7" t="s">
        <v>84</v>
      </c>
      <c r="H23" s="7" t="s">
        <v>84</v>
      </c>
      <c r="I23" s="7" t="s">
        <v>16</v>
      </c>
      <c r="J23" s="7" t="s">
        <v>84</v>
      </c>
      <c r="K23" s="7" t="s">
        <v>16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84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86</v>
      </c>
      <c r="Y23" s="7" t="s">
        <v>84</v>
      </c>
      <c r="Z23" s="7" t="s">
        <v>16</v>
      </c>
      <c r="AA23" s="7" t="s">
        <v>84</v>
      </c>
      <c r="AB23" s="7" t="s">
        <v>84</v>
      </c>
      <c r="AC23" s="7" t="s">
        <v>16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16</v>
      </c>
      <c r="G24" s="7" t="s">
        <v>84</v>
      </c>
      <c r="H24" s="7" t="s">
        <v>84</v>
      </c>
      <c r="I24" s="7" t="s">
        <v>16</v>
      </c>
      <c r="J24" s="7" t="s">
        <v>16</v>
      </c>
      <c r="K24" s="7" t="s">
        <v>84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84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86</v>
      </c>
      <c r="Z24" s="7" t="s">
        <v>88</v>
      </c>
      <c r="AA24" s="7" t="s">
        <v>84</v>
      </c>
      <c r="AB24" s="7" t="s">
        <v>84</v>
      </c>
      <c r="AC24" s="7" t="s">
        <v>16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16</v>
      </c>
      <c r="G25" s="7" t="s">
        <v>84</v>
      </c>
      <c r="H25" s="7" t="s">
        <v>84</v>
      </c>
      <c r="I25" s="7" t="s">
        <v>16</v>
      </c>
      <c r="J25" s="7" t="s">
        <v>16</v>
      </c>
      <c r="K25" s="7" t="s">
        <v>16</v>
      </c>
      <c r="L25" s="7" t="s">
        <v>16</v>
      </c>
      <c r="M25" s="7" t="s">
        <v>16</v>
      </c>
      <c r="N25" s="7" t="s">
        <v>16</v>
      </c>
      <c r="O25" s="7" t="s">
        <v>16</v>
      </c>
      <c r="P25" s="7" t="s">
        <v>16</v>
      </c>
      <c r="Q25" s="7" t="s">
        <v>88</v>
      </c>
      <c r="R25" s="7" t="s">
        <v>88</v>
      </c>
      <c r="S25" s="7" t="s">
        <v>16</v>
      </c>
      <c r="T25" s="7" t="s">
        <v>16</v>
      </c>
      <c r="U25" s="7" t="s">
        <v>16</v>
      </c>
      <c r="V25" s="7" t="s">
        <v>84</v>
      </c>
      <c r="W25" s="7" t="s">
        <v>84</v>
      </c>
      <c r="X25" s="7" t="s">
        <v>84</v>
      </c>
      <c r="Y25" s="7" t="s">
        <v>88</v>
      </c>
      <c r="Z25" s="7" t="s">
        <v>88</v>
      </c>
      <c r="AA25" s="7" t="s">
        <v>84</v>
      </c>
      <c r="AB25" s="7" t="s">
        <v>84</v>
      </c>
      <c r="AC25" s="7" t="s">
        <v>16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16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84</v>
      </c>
      <c r="S26" s="7" t="s">
        <v>16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88</v>
      </c>
      <c r="AB26" s="7" t="s">
        <v>84</v>
      </c>
      <c r="AC26" s="7" t="s">
        <v>88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16</v>
      </c>
      <c r="G27" s="7" t="s">
        <v>84</v>
      </c>
      <c r="H27" s="7" t="s">
        <v>84</v>
      </c>
      <c r="I27" s="7" t="s">
        <v>84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84</v>
      </c>
      <c r="R27" s="7" t="s">
        <v>84</v>
      </c>
      <c r="S27" s="7" t="s">
        <v>16</v>
      </c>
      <c r="T27" s="7" t="s">
        <v>84</v>
      </c>
      <c r="U27" s="7" t="s">
        <v>84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88</v>
      </c>
      <c r="AC27" s="7" t="s">
        <v>88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16</v>
      </c>
      <c r="G28" s="7" t="s">
        <v>88</v>
      </c>
      <c r="H28" s="7" t="s">
        <v>88</v>
      </c>
      <c r="I28" s="7" t="s">
        <v>16</v>
      </c>
      <c r="J28" s="7" t="s">
        <v>16</v>
      </c>
      <c r="K28" s="7" t="s">
        <v>16</v>
      </c>
      <c r="L28" s="7" t="s">
        <v>16</v>
      </c>
      <c r="M28" s="7" t="s">
        <v>16</v>
      </c>
      <c r="N28" s="7" t="s">
        <v>16</v>
      </c>
      <c r="O28" s="7" t="s">
        <v>16</v>
      </c>
      <c r="P28" s="7" t="s">
        <v>16</v>
      </c>
      <c r="Q28" s="7" t="s">
        <v>86</v>
      </c>
      <c r="R28" s="7" t="s">
        <v>86</v>
      </c>
      <c r="S28" s="7" t="s">
        <v>16</v>
      </c>
      <c r="T28" s="7" t="s">
        <v>84</v>
      </c>
      <c r="U28" s="7" t="s">
        <v>84</v>
      </c>
      <c r="V28" s="7" t="s">
        <v>16</v>
      </c>
      <c r="W28" s="7" t="s">
        <v>16</v>
      </c>
      <c r="X28" s="7" t="s">
        <v>16</v>
      </c>
      <c r="Y28" s="7" t="s">
        <v>16</v>
      </c>
      <c r="Z28" s="7" t="s">
        <v>16</v>
      </c>
      <c r="AA28" s="7" t="s">
        <v>16</v>
      </c>
      <c r="AB28" s="7" t="s">
        <v>88</v>
      </c>
      <c r="AC28" s="7" t="s">
        <v>88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16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84</v>
      </c>
      <c r="S29" s="7" t="s">
        <v>16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90</v>
      </c>
      <c r="E30" s="7" t="s">
        <v>84</v>
      </c>
      <c r="F30" s="7" t="s">
        <v>16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84</v>
      </c>
      <c r="S30" s="7" t="s">
        <v>16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90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291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290" priority="3" operator="equal">
      <formula>"h"</formula>
    </cfRule>
    <cfRule type="cellIs" dxfId="289" priority="4" operator="equal">
      <formula>"d"</formula>
    </cfRule>
    <cfRule type="cellIs" dxfId="288" priority="5" operator="equal">
      <formula>"o"</formula>
    </cfRule>
    <cfRule type="cellIs" dxfId="287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AJ25" sqref="AJ25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84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84</v>
      </c>
      <c r="R3" s="7" t="s">
        <v>88</v>
      </c>
      <c r="S3" s="7" t="s">
        <v>88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84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84</v>
      </c>
      <c r="R4" s="7" t="s">
        <v>88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84</v>
      </c>
      <c r="I5" s="7" t="s">
        <v>86</v>
      </c>
      <c r="J5" s="7" t="s">
        <v>84</v>
      </c>
      <c r="K5" s="7" t="s">
        <v>84</v>
      </c>
      <c r="L5" s="7" t="s">
        <v>84</v>
      </c>
      <c r="M5" s="7" t="s">
        <v>84</v>
      </c>
      <c r="N5" s="7" t="s">
        <v>84</v>
      </c>
      <c r="O5" s="7" t="s">
        <v>84</v>
      </c>
      <c r="P5" s="7" t="s">
        <v>84</v>
      </c>
      <c r="Q5" s="7" t="s">
        <v>84</v>
      </c>
      <c r="R5" s="7" t="s">
        <v>84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84</v>
      </c>
      <c r="X5" s="7" t="s">
        <v>84</v>
      </c>
      <c r="Y5" s="7" t="s">
        <v>84</v>
      </c>
      <c r="Z5" s="7" t="s">
        <v>84</v>
      </c>
      <c r="AA5" s="7" t="s">
        <v>88</v>
      </c>
      <c r="AB5" s="7" t="s">
        <v>88</v>
      </c>
      <c r="AC5" s="7" t="s">
        <v>88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84</v>
      </c>
      <c r="H6" s="7" t="s">
        <v>84</v>
      </c>
      <c r="I6" s="7" t="s">
        <v>86</v>
      </c>
      <c r="J6" s="7" t="s">
        <v>84</v>
      </c>
      <c r="K6" s="7" t="s">
        <v>84</v>
      </c>
      <c r="L6" s="7" t="s">
        <v>84</v>
      </c>
      <c r="M6" s="7" t="s">
        <v>84</v>
      </c>
      <c r="N6" s="7" t="s">
        <v>88</v>
      </c>
      <c r="O6" s="7" t="s">
        <v>84</v>
      </c>
      <c r="P6" s="7" t="s">
        <v>84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16</v>
      </c>
      <c r="V6" s="7" t="s">
        <v>16</v>
      </c>
      <c r="W6" s="7" t="s">
        <v>16</v>
      </c>
      <c r="X6" s="7" t="s">
        <v>16</v>
      </c>
      <c r="Y6" s="7" t="s">
        <v>16</v>
      </c>
      <c r="Z6" s="7" t="s">
        <v>16</v>
      </c>
      <c r="AA6" s="7" t="s">
        <v>84</v>
      </c>
      <c r="AB6" s="7" t="s">
        <v>84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86</v>
      </c>
      <c r="H7" s="7" t="s">
        <v>86</v>
      </c>
      <c r="I7" s="7" t="s">
        <v>86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88</v>
      </c>
      <c r="O7" s="7" t="s">
        <v>84</v>
      </c>
      <c r="P7" s="7" t="s">
        <v>84</v>
      </c>
      <c r="Q7" s="7" t="s">
        <v>84</v>
      </c>
      <c r="R7" s="7" t="s">
        <v>88</v>
      </c>
      <c r="S7" s="7" t="s">
        <v>88</v>
      </c>
      <c r="T7" s="7" t="s">
        <v>16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84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84</v>
      </c>
      <c r="J8" s="7" t="s">
        <v>84</v>
      </c>
      <c r="K8" s="7" t="s">
        <v>84</v>
      </c>
      <c r="L8" s="7" t="s">
        <v>84</v>
      </c>
      <c r="M8" s="7" t="s">
        <v>84</v>
      </c>
      <c r="N8" s="7" t="s">
        <v>88</v>
      </c>
      <c r="O8" s="7" t="s">
        <v>84</v>
      </c>
      <c r="P8" s="7" t="s">
        <v>84</v>
      </c>
      <c r="Q8" s="7" t="s">
        <v>84</v>
      </c>
      <c r="R8" s="7" t="s">
        <v>88</v>
      </c>
      <c r="S8" s="7" t="s">
        <v>88</v>
      </c>
      <c r="T8" s="7" t="s">
        <v>84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84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84</v>
      </c>
      <c r="H9" s="7" t="s">
        <v>84</v>
      </c>
      <c r="I9" s="7" t="s">
        <v>84</v>
      </c>
      <c r="J9" s="7" t="s">
        <v>84</v>
      </c>
      <c r="K9" s="7" t="s">
        <v>84</v>
      </c>
      <c r="L9" s="7" t="s">
        <v>84</v>
      </c>
      <c r="M9" s="7" t="s">
        <v>84</v>
      </c>
      <c r="N9" s="7" t="s">
        <v>88</v>
      </c>
      <c r="O9" s="7" t="s">
        <v>84</v>
      </c>
      <c r="P9" s="7" t="s">
        <v>84</v>
      </c>
      <c r="Q9" s="7" t="s">
        <v>84</v>
      </c>
      <c r="R9" s="7" t="s">
        <v>88</v>
      </c>
      <c r="S9" s="7" t="s">
        <v>88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84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84</v>
      </c>
      <c r="J10" s="7" t="s">
        <v>84</v>
      </c>
      <c r="K10" s="7" t="s">
        <v>84</v>
      </c>
      <c r="L10" s="7" t="s">
        <v>84</v>
      </c>
      <c r="M10" s="7" t="s">
        <v>84</v>
      </c>
      <c r="N10" s="7" t="s">
        <v>88</v>
      </c>
      <c r="O10" s="7" t="s">
        <v>84</v>
      </c>
      <c r="P10" s="7" t="s">
        <v>84</v>
      </c>
      <c r="Q10" s="7" t="s">
        <v>84</v>
      </c>
      <c r="R10" s="7" t="s">
        <v>88</v>
      </c>
      <c r="S10" s="7" t="s">
        <v>88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16</v>
      </c>
      <c r="Y10" s="7" t="s">
        <v>16</v>
      </c>
      <c r="Z10" s="7" t="s">
        <v>16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16</v>
      </c>
      <c r="H11" s="7" t="s">
        <v>16</v>
      </c>
      <c r="I11" s="7" t="s">
        <v>16</v>
      </c>
      <c r="J11" s="7" t="s">
        <v>16</v>
      </c>
      <c r="K11" s="7" t="s">
        <v>16</v>
      </c>
      <c r="L11" s="7" t="s">
        <v>16</v>
      </c>
      <c r="M11" s="7" t="s">
        <v>16</v>
      </c>
      <c r="N11" s="7" t="s">
        <v>16</v>
      </c>
      <c r="O11" s="7" t="s">
        <v>84</v>
      </c>
      <c r="P11" s="7" t="s">
        <v>84</v>
      </c>
      <c r="Q11" s="7" t="s">
        <v>84</v>
      </c>
      <c r="R11" s="7" t="s">
        <v>88</v>
      </c>
      <c r="S11" s="7" t="s">
        <v>88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16</v>
      </c>
      <c r="Y11" s="7" t="s">
        <v>84</v>
      </c>
      <c r="Z11" s="7" t="s">
        <v>84</v>
      </c>
      <c r="AA11" s="7" t="s">
        <v>16</v>
      </c>
      <c r="AB11" s="7" t="s">
        <v>84</v>
      </c>
      <c r="AC11" s="7" t="s">
        <v>84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84</v>
      </c>
      <c r="J12" s="7" t="s">
        <v>84</v>
      </c>
      <c r="K12" s="7" t="s">
        <v>84</v>
      </c>
      <c r="L12" s="7" t="s">
        <v>86</v>
      </c>
      <c r="M12" s="7" t="s">
        <v>84</v>
      </c>
      <c r="N12" s="7" t="s">
        <v>84</v>
      </c>
      <c r="O12" s="7" t="s">
        <v>84</v>
      </c>
      <c r="P12" s="7" t="s">
        <v>84</v>
      </c>
      <c r="Q12" s="7" t="s">
        <v>84</v>
      </c>
      <c r="R12" s="7" t="s">
        <v>88</v>
      </c>
      <c r="S12" s="7" t="s">
        <v>88</v>
      </c>
      <c r="T12" s="7" t="s">
        <v>84</v>
      </c>
      <c r="U12" s="7" t="s">
        <v>84</v>
      </c>
      <c r="V12" s="7" t="s">
        <v>84</v>
      </c>
      <c r="W12" s="7" t="s">
        <v>84</v>
      </c>
      <c r="X12" s="7" t="s">
        <v>16</v>
      </c>
      <c r="Y12" s="7" t="s">
        <v>84</v>
      </c>
      <c r="Z12" s="7" t="s">
        <v>84</v>
      </c>
      <c r="AA12" s="7" t="s">
        <v>84</v>
      </c>
      <c r="AB12" s="7" t="s">
        <v>16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84</v>
      </c>
      <c r="J13" s="7" t="s">
        <v>84</v>
      </c>
      <c r="K13" s="7" t="s">
        <v>84</v>
      </c>
      <c r="L13" s="7" t="s">
        <v>86</v>
      </c>
      <c r="M13" s="7" t="s">
        <v>84</v>
      </c>
      <c r="N13" s="7" t="s">
        <v>84</v>
      </c>
      <c r="O13" s="7" t="s">
        <v>84</v>
      </c>
      <c r="P13" s="7" t="s">
        <v>84</v>
      </c>
      <c r="Q13" s="7" t="s">
        <v>84</v>
      </c>
      <c r="R13" s="7" t="s">
        <v>88</v>
      </c>
      <c r="S13" s="7" t="s">
        <v>88</v>
      </c>
      <c r="T13" s="7" t="s">
        <v>84</v>
      </c>
      <c r="U13" s="7" t="s">
        <v>84</v>
      </c>
      <c r="V13" s="7" t="s">
        <v>84</v>
      </c>
      <c r="W13" s="7" t="s">
        <v>84</v>
      </c>
      <c r="X13" s="7" t="s">
        <v>16</v>
      </c>
      <c r="Y13" s="7" t="s">
        <v>84</v>
      </c>
      <c r="Z13" s="7" t="s">
        <v>84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84</v>
      </c>
      <c r="J14" s="7" t="s">
        <v>84</v>
      </c>
      <c r="K14" s="7" t="s">
        <v>84</v>
      </c>
      <c r="L14" s="7" t="s">
        <v>86</v>
      </c>
      <c r="M14" s="7" t="s">
        <v>84</v>
      </c>
      <c r="N14" s="7" t="s">
        <v>84</v>
      </c>
      <c r="O14" s="7" t="s">
        <v>84</v>
      </c>
      <c r="P14" s="7" t="s">
        <v>84</v>
      </c>
      <c r="Q14" s="7" t="s">
        <v>90</v>
      </c>
      <c r="R14" s="7" t="s">
        <v>88</v>
      </c>
      <c r="S14" s="7" t="s">
        <v>88</v>
      </c>
      <c r="T14" s="7" t="s">
        <v>90</v>
      </c>
      <c r="U14" s="7" t="s">
        <v>84</v>
      </c>
      <c r="V14" s="7" t="s">
        <v>84</v>
      </c>
      <c r="W14" s="7" t="s">
        <v>84</v>
      </c>
      <c r="X14" s="7" t="s">
        <v>16</v>
      </c>
      <c r="Y14" s="7" t="s">
        <v>84</v>
      </c>
      <c r="Z14" s="7" t="s">
        <v>84</v>
      </c>
      <c r="AA14" s="7" t="s">
        <v>84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16</v>
      </c>
      <c r="H15" s="7" t="s">
        <v>16</v>
      </c>
      <c r="I15" s="7" t="s">
        <v>16</v>
      </c>
      <c r="J15" s="7" t="s">
        <v>16</v>
      </c>
      <c r="K15" s="7" t="s">
        <v>16</v>
      </c>
      <c r="L15" s="7" t="s">
        <v>16</v>
      </c>
      <c r="M15" s="7" t="s">
        <v>88</v>
      </c>
      <c r="N15" s="7" t="s">
        <v>88</v>
      </c>
      <c r="O15" s="7" t="s">
        <v>88</v>
      </c>
      <c r="P15" s="7" t="s">
        <v>88</v>
      </c>
      <c r="Q15" s="7" t="s">
        <v>88</v>
      </c>
      <c r="R15" s="7" t="s">
        <v>88</v>
      </c>
      <c r="S15" s="7" t="s">
        <v>88</v>
      </c>
      <c r="T15" s="7" t="s">
        <v>88</v>
      </c>
      <c r="U15" s="7" t="s">
        <v>88</v>
      </c>
      <c r="V15" s="7" t="s">
        <v>88</v>
      </c>
      <c r="W15" s="7" t="s">
        <v>88</v>
      </c>
      <c r="X15" s="7" t="s">
        <v>88</v>
      </c>
      <c r="Y15" s="7" t="s">
        <v>88</v>
      </c>
      <c r="Z15" s="7" t="s">
        <v>88</v>
      </c>
      <c r="AA15" s="7" t="s">
        <v>88</v>
      </c>
      <c r="AB15" s="7" t="s">
        <v>88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84</v>
      </c>
      <c r="J16" s="7" t="s">
        <v>84</v>
      </c>
      <c r="K16" s="7" t="s">
        <v>84</v>
      </c>
      <c r="L16" s="7" t="s">
        <v>16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90</v>
      </c>
      <c r="R16" s="7" t="s">
        <v>88</v>
      </c>
      <c r="S16" s="7" t="s">
        <v>88</v>
      </c>
      <c r="T16" s="7" t="s">
        <v>90</v>
      </c>
      <c r="U16" s="7" t="s">
        <v>84</v>
      </c>
      <c r="V16" s="7" t="s">
        <v>84</v>
      </c>
      <c r="W16" s="7" t="s">
        <v>84</v>
      </c>
      <c r="X16" s="7" t="s">
        <v>84</v>
      </c>
      <c r="Y16" s="7" t="s">
        <v>84</v>
      </c>
      <c r="Z16" s="7" t="s">
        <v>84</v>
      </c>
      <c r="AA16" s="7" t="s">
        <v>84</v>
      </c>
      <c r="AB16" s="7" t="s">
        <v>16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84</v>
      </c>
      <c r="H17" s="7" t="s">
        <v>84</v>
      </c>
      <c r="I17" s="7" t="s">
        <v>84</v>
      </c>
      <c r="J17" s="7" t="s">
        <v>84</v>
      </c>
      <c r="K17" s="7" t="s">
        <v>84</v>
      </c>
      <c r="L17" s="7" t="s">
        <v>16</v>
      </c>
      <c r="M17" s="7" t="s">
        <v>84</v>
      </c>
      <c r="N17" s="7" t="s">
        <v>84</v>
      </c>
      <c r="O17" s="7" t="s">
        <v>84</v>
      </c>
      <c r="P17" s="7" t="s">
        <v>84</v>
      </c>
      <c r="Q17" s="7" t="s">
        <v>84</v>
      </c>
      <c r="R17" s="7" t="s">
        <v>88</v>
      </c>
      <c r="S17" s="7" t="s">
        <v>88</v>
      </c>
      <c r="T17" s="7" t="s">
        <v>84</v>
      </c>
      <c r="U17" s="7" t="s">
        <v>84</v>
      </c>
      <c r="V17" s="7" t="s">
        <v>84</v>
      </c>
      <c r="W17" s="7" t="s">
        <v>84</v>
      </c>
      <c r="X17" s="7" t="s">
        <v>84</v>
      </c>
      <c r="Y17" s="7" t="s">
        <v>84</v>
      </c>
      <c r="Z17" s="7" t="s">
        <v>84</v>
      </c>
      <c r="AA17" s="7" t="s">
        <v>84</v>
      </c>
      <c r="AB17" s="7" t="s">
        <v>16</v>
      </c>
      <c r="AC17" s="7" t="s">
        <v>84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84</v>
      </c>
      <c r="K18" s="7" t="s">
        <v>84</v>
      </c>
      <c r="L18" s="7" t="s">
        <v>16</v>
      </c>
      <c r="M18" s="7" t="s">
        <v>84</v>
      </c>
      <c r="N18" s="7" t="s">
        <v>84</v>
      </c>
      <c r="O18" s="7" t="s">
        <v>84</v>
      </c>
      <c r="P18" s="7" t="s">
        <v>84</v>
      </c>
      <c r="Q18" s="7" t="s">
        <v>84</v>
      </c>
      <c r="R18" s="7" t="s">
        <v>88</v>
      </c>
      <c r="S18" s="7" t="s">
        <v>88</v>
      </c>
      <c r="T18" s="7" t="s">
        <v>84</v>
      </c>
      <c r="U18" s="7" t="s">
        <v>84</v>
      </c>
      <c r="V18" s="7" t="s">
        <v>84</v>
      </c>
      <c r="W18" s="7" t="s">
        <v>84</v>
      </c>
      <c r="X18" s="7" t="s">
        <v>84</v>
      </c>
      <c r="Y18" s="7" t="s">
        <v>84</v>
      </c>
      <c r="Z18" s="7" t="s">
        <v>84</v>
      </c>
      <c r="AA18" s="7" t="s">
        <v>84</v>
      </c>
      <c r="AB18" s="7" t="s">
        <v>16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84</v>
      </c>
      <c r="L19" s="7" t="s">
        <v>16</v>
      </c>
      <c r="M19" s="7" t="s">
        <v>16</v>
      </c>
      <c r="N19" s="7" t="s">
        <v>16</v>
      </c>
      <c r="O19" s="7" t="s">
        <v>16</v>
      </c>
      <c r="P19" s="7" t="s">
        <v>84</v>
      </c>
      <c r="Q19" s="7" t="s">
        <v>84</v>
      </c>
      <c r="R19" s="7" t="s">
        <v>88</v>
      </c>
      <c r="S19" s="7" t="s">
        <v>88</v>
      </c>
      <c r="T19" s="7" t="s">
        <v>84</v>
      </c>
      <c r="U19" s="7" t="s">
        <v>84</v>
      </c>
      <c r="V19" s="7" t="s">
        <v>84</v>
      </c>
      <c r="W19" s="7" t="s">
        <v>84</v>
      </c>
      <c r="X19" s="7" t="s">
        <v>84</v>
      </c>
      <c r="Y19" s="7" t="s">
        <v>84</v>
      </c>
      <c r="Z19" s="7" t="s">
        <v>84</v>
      </c>
      <c r="AA19" s="7" t="s">
        <v>84</v>
      </c>
      <c r="AB19" s="7" t="s">
        <v>86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84</v>
      </c>
      <c r="J20" s="7" t="s">
        <v>84</v>
      </c>
      <c r="K20" s="7" t="s">
        <v>84</v>
      </c>
      <c r="L20" s="7" t="s">
        <v>84</v>
      </c>
      <c r="M20" s="7" t="s">
        <v>84</v>
      </c>
      <c r="N20" s="7" t="s">
        <v>84</v>
      </c>
      <c r="O20" s="7" t="s">
        <v>84</v>
      </c>
      <c r="P20" s="7" t="s">
        <v>84</v>
      </c>
      <c r="Q20" s="7" t="s">
        <v>84</v>
      </c>
      <c r="R20" s="7" t="s">
        <v>88</v>
      </c>
      <c r="S20" s="7" t="s">
        <v>88</v>
      </c>
      <c r="T20" s="7" t="s">
        <v>84</v>
      </c>
      <c r="U20" s="7" t="s">
        <v>84</v>
      </c>
      <c r="V20" s="7" t="s">
        <v>84</v>
      </c>
      <c r="W20" s="7" t="s">
        <v>84</v>
      </c>
      <c r="X20" s="7" t="s">
        <v>84</v>
      </c>
      <c r="Y20" s="7" t="s">
        <v>84</v>
      </c>
      <c r="Z20" s="7" t="s">
        <v>84</v>
      </c>
      <c r="AA20" s="7" t="s">
        <v>84</v>
      </c>
      <c r="AB20" s="7" t="s">
        <v>86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84</v>
      </c>
      <c r="G21" s="7" t="s">
        <v>84</v>
      </c>
      <c r="H21" s="7" t="s">
        <v>84</v>
      </c>
      <c r="I21" s="7" t="s">
        <v>84</v>
      </c>
      <c r="J21" s="7" t="s">
        <v>84</v>
      </c>
      <c r="K21" s="7" t="s">
        <v>84</v>
      </c>
      <c r="L21" s="7" t="s">
        <v>84</v>
      </c>
      <c r="M21" s="7" t="s">
        <v>84</v>
      </c>
      <c r="N21" s="7" t="s">
        <v>84</v>
      </c>
      <c r="O21" s="7" t="s">
        <v>84</v>
      </c>
      <c r="P21" s="7" t="s">
        <v>84</v>
      </c>
      <c r="Q21" s="7" t="s">
        <v>84</v>
      </c>
      <c r="R21" s="7" t="s">
        <v>88</v>
      </c>
      <c r="S21" s="7" t="s">
        <v>88</v>
      </c>
      <c r="T21" s="7" t="s">
        <v>84</v>
      </c>
      <c r="U21" s="7" t="s">
        <v>84</v>
      </c>
      <c r="V21" s="7" t="s">
        <v>84</v>
      </c>
      <c r="W21" s="7" t="s">
        <v>84</v>
      </c>
      <c r="X21" s="7" t="s">
        <v>84</v>
      </c>
      <c r="Y21" s="7" t="s">
        <v>84</v>
      </c>
      <c r="Z21" s="7" t="s">
        <v>84</v>
      </c>
      <c r="AA21" s="7" t="s">
        <v>84</v>
      </c>
      <c r="AB21" s="7" t="s">
        <v>88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84</v>
      </c>
      <c r="J22" s="7" t="s">
        <v>84</v>
      </c>
      <c r="K22" s="7" t="s">
        <v>84</v>
      </c>
      <c r="L22" s="7" t="s">
        <v>84</v>
      </c>
      <c r="M22" s="7" t="s">
        <v>84</v>
      </c>
      <c r="N22" s="7" t="s">
        <v>84</v>
      </c>
      <c r="O22" s="7" t="s">
        <v>84</v>
      </c>
      <c r="P22" s="7" t="s">
        <v>84</v>
      </c>
      <c r="Q22" s="7" t="s">
        <v>84</v>
      </c>
      <c r="R22" s="7" t="s">
        <v>88</v>
      </c>
      <c r="S22" s="7" t="s">
        <v>88</v>
      </c>
      <c r="T22" s="7" t="s">
        <v>84</v>
      </c>
      <c r="U22" s="7" t="s">
        <v>84</v>
      </c>
      <c r="V22" s="7" t="s">
        <v>84</v>
      </c>
      <c r="W22" s="7" t="s">
        <v>84</v>
      </c>
      <c r="X22" s="7" t="s">
        <v>84</v>
      </c>
      <c r="Y22" s="7" t="s">
        <v>84</v>
      </c>
      <c r="Z22" s="7" t="s">
        <v>84</v>
      </c>
      <c r="AA22" s="7" t="s">
        <v>84</v>
      </c>
      <c r="AB22" s="7" t="s">
        <v>88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84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88</v>
      </c>
      <c r="S23" s="7" t="s">
        <v>88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84</v>
      </c>
      <c r="Y23" s="7" t="s">
        <v>84</v>
      </c>
      <c r="Z23" s="7" t="s">
        <v>84</v>
      </c>
      <c r="AA23" s="7" t="s">
        <v>84</v>
      </c>
      <c r="AB23" s="7" t="s">
        <v>86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86</v>
      </c>
      <c r="H24" s="7" t="s">
        <v>84</v>
      </c>
      <c r="I24" s="7" t="s">
        <v>84</v>
      </c>
      <c r="J24" s="7" t="s">
        <v>84</v>
      </c>
      <c r="K24" s="7" t="s">
        <v>84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88</v>
      </c>
      <c r="S24" s="7" t="s">
        <v>88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84</v>
      </c>
      <c r="Z24" s="7" t="s">
        <v>84</v>
      </c>
      <c r="AA24" s="7" t="s">
        <v>84</v>
      </c>
      <c r="AB24" s="7" t="s">
        <v>86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86</v>
      </c>
      <c r="I25" s="7" t="s">
        <v>84</v>
      </c>
      <c r="J25" s="7" t="s">
        <v>84</v>
      </c>
      <c r="K25" s="7" t="s">
        <v>84</v>
      </c>
      <c r="L25" s="7" t="s">
        <v>16</v>
      </c>
      <c r="M25" s="7" t="s">
        <v>16</v>
      </c>
      <c r="N25" s="7" t="s">
        <v>16</v>
      </c>
      <c r="O25" s="7" t="s">
        <v>16</v>
      </c>
      <c r="P25" s="7" t="s">
        <v>16</v>
      </c>
      <c r="Q25" s="7" t="s">
        <v>16</v>
      </c>
      <c r="R25" s="7" t="s">
        <v>88</v>
      </c>
      <c r="S25" s="7" t="s">
        <v>88</v>
      </c>
      <c r="T25" s="7" t="s">
        <v>84</v>
      </c>
      <c r="U25" s="7" t="s">
        <v>84</v>
      </c>
      <c r="V25" s="7" t="s">
        <v>84</v>
      </c>
      <c r="W25" s="7" t="s">
        <v>84</v>
      </c>
      <c r="X25" s="7" t="s">
        <v>84</v>
      </c>
      <c r="Y25" s="7" t="s">
        <v>84</v>
      </c>
      <c r="Z25" s="7" t="s">
        <v>84</v>
      </c>
      <c r="AA25" s="7" t="s">
        <v>16</v>
      </c>
      <c r="AB25" s="7" t="s">
        <v>84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86</v>
      </c>
      <c r="J26" s="7" t="s">
        <v>84</v>
      </c>
      <c r="K26" s="7" t="s">
        <v>84</v>
      </c>
      <c r="L26" s="7" t="s">
        <v>88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88</v>
      </c>
      <c r="S26" s="7" t="s">
        <v>88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16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84</v>
      </c>
      <c r="J27" s="7" t="s">
        <v>88</v>
      </c>
      <c r="K27" s="7" t="s">
        <v>88</v>
      </c>
      <c r="L27" s="7" t="s">
        <v>88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84</v>
      </c>
      <c r="R27" s="7" t="s">
        <v>88</v>
      </c>
      <c r="S27" s="7" t="s">
        <v>88</v>
      </c>
      <c r="T27" s="7" t="s">
        <v>84</v>
      </c>
      <c r="U27" s="7" t="s">
        <v>84</v>
      </c>
      <c r="V27" s="7" t="s">
        <v>84</v>
      </c>
      <c r="W27" s="7" t="s">
        <v>84</v>
      </c>
      <c r="X27" s="7" t="s">
        <v>84</v>
      </c>
      <c r="Y27" s="7" t="s">
        <v>16</v>
      </c>
      <c r="Z27" s="7" t="s">
        <v>84</v>
      </c>
      <c r="AA27" s="7" t="s">
        <v>84</v>
      </c>
      <c r="AB27" s="7" t="s">
        <v>84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84</v>
      </c>
      <c r="L28" s="7" t="s">
        <v>84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84</v>
      </c>
      <c r="S28" s="7" t="s">
        <v>84</v>
      </c>
      <c r="T28" s="7" t="s">
        <v>84</v>
      </c>
      <c r="U28" s="7" t="s">
        <v>84</v>
      </c>
      <c r="V28" s="7" t="s">
        <v>84</v>
      </c>
      <c r="W28" s="7" t="s">
        <v>84</v>
      </c>
      <c r="X28" s="7" t="s">
        <v>16</v>
      </c>
      <c r="Y28" s="7" t="s">
        <v>84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84</v>
      </c>
      <c r="S29" s="7" t="s">
        <v>84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84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84</v>
      </c>
      <c r="S30" s="7" t="s">
        <v>84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84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286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285" priority="3" operator="equal">
      <formula>"h"</formula>
    </cfRule>
    <cfRule type="cellIs" dxfId="284" priority="4" operator="equal">
      <formula>"d"</formula>
    </cfRule>
    <cfRule type="cellIs" dxfId="283" priority="5" operator="equal">
      <formula>"o"</formula>
    </cfRule>
    <cfRule type="cellIs" dxfId="282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C2" sqref="C2:AF32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84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16</v>
      </c>
      <c r="R3" s="7" t="s">
        <v>16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84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16</v>
      </c>
      <c r="R4" s="7" t="s">
        <v>16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84</v>
      </c>
      <c r="L5" s="7" t="s">
        <v>84</v>
      </c>
      <c r="M5" s="7" t="s">
        <v>84</v>
      </c>
      <c r="N5" s="7" t="s">
        <v>84</v>
      </c>
      <c r="O5" s="7" t="s">
        <v>84</v>
      </c>
      <c r="P5" s="7" t="s">
        <v>84</v>
      </c>
      <c r="Q5" s="7" t="s">
        <v>84</v>
      </c>
      <c r="R5" s="7" t="s">
        <v>84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84</v>
      </c>
      <c r="X5" s="7" t="s">
        <v>84</v>
      </c>
      <c r="Y5" s="7" t="s">
        <v>84</v>
      </c>
      <c r="Z5" s="7" t="s">
        <v>84</v>
      </c>
      <c r="AA5" s="7" t="s">
        <v>84</v>
      </c>
      <c r="AB5" s="7" t="s">
        <v>84</v>
      </c>
      <c r="AC5" s="7" t="s">
        <v>84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84</v>
      </c>
      <c r="H6" s="7" t="s">
        <v>84</v>
      </c>
      <c r="I6" s="7" t="s">
        <v>88</v>
      </c>
      <c r="J6" s="7" t="s">
        <v>88</v>
      </c>
      <c r="K6" s="7" t="s">
        <v>88</v>
      </c>
      <c r="L6" s="7" t="s">
        <v>88</v>
      </c>
      <c r="M6" s="7" t="s">
        <v>84</v>
      </c>
      <c r="N6" s="7" t="s">
        <v>84</v>
      </c>
      <c r="O6" s="7" t="s">
        <v>84</v>
      </c>
      <c r="P6" s="7" t="s">
        <v>84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88</v>
      </c>
      <c r="X6" s="7" t="s">
        <v>88</v>
      </c>
      <c r="Y6" s="7" t="s">
        <v>88</v>
      </c>
      <c r="Z6" s="7" t="s">
        <v>88</v>
      </c>
      <c r="AA6" s="7" t="s">
        <v>84</v>
      </c>
      <c r="AB6" s="7" t="s">
        <v>84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84</v>
      </c>
      <c r="H7" s="7" t="s">
        <v>84</v>
      </c>
      <c r="I7" s="7" t="s">
        <v>84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84</v>
      </c>
      <c r="R7" s="7" t="s">
        <v>84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84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84</v>
      </c>
      <c r="J8" s="7" t="s">
        <v>84</v>
      </c>
      <c r="K8" s="7" t="s">
        <v>84</v>
      </c>
      <c r="L8" s="7" t="s">
        <v>84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84</v>
      </c>
      <c r="R8" s="7" t="s">
        <v>84</v>
      </c>
      <c r="S8" s="7" t="s">
        <v>84</v>
      </c>
      <c r="T8" s="7" t="s">
        <v>84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84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84</v>
      </c>
      <c r="H9" s="7" t="s">
        <v>84</v>
      </c>
      <c r="I9" s="7" t="s">
        <v>84</v>
      </c>
      <c r="J9" s="7" t="s">
        <v>84</v>
      </c>
      <c r="K9" s="7" t="s">
        <v>84</v>
      </c>
      <c r="L9" s="7" t="s">
        <v>84</v>
      </c>
      <c r="M9" s="7" t="s">
        <v>84</v>
      </c>
      <c r="N9" s="7" t="s">
        <v>16</v>
      </c>
      <c r="O9" s="7" t="s">
        <v>16</v>
      </c>
      <c r="P9" s="7" t="s">
        <v>16</v>
      </c>
      <c r="Q9" s="7" t="s">
        <v>84</v>
      </c>
      <c r="R9" s="7" t="s">
        <v>84</v>
      </c>
      <c r="S9" s="7" t="s">
        <v>16</v>
      </c>
      <c r="T9" s="7" t="s">
        <v>16</v>
      </c>
      <c r="U9" s="7" t="s">
        <v>16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84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84</v>
      </c>
      <c r="J10" s="7" t="s">
        <v>84</v>
      </c>
      <c r="K10" s="7" t="s">
        <v>84</v>
      </c>
      <c r="L10" s="7" t="s">
        <v>84</v>
      </c>
      <c r="M10" s="7" t="s">
        <v>84</v>
      </c>
      <c r="N10" s="7" t="s">
        <v>16</v>
      </c>
      <c r="O10" s="7" t="s">
        <v>84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84</v>
      </c>
      <c r="U10" s="7" t="s">
        <v>16</v>
      </c>
      <c r="V10" s="7" t="s">
        <v>84</v>
      </c>
      <c r="W10" s="7" t="s">
        <v>84</v>
      </c>
      <c r="X10" s="7" t="s">
        <v>84</v>
      </c>
      <c r="Y10" s="7" t="s">
        <v>84</v>
      </c>
      <c r="Z10" s="7" t="s">
        <v>84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16</v>
      </c>
      <c r="H11" s="7" t="s">
        <v>16</v>
      </c>
      <c r="I11" s="7" t="s">
        <v>16</v>
      </c>
      <c r="J11" s="7" t="s">
        <v>84</v>
      </c>
      <c r="K11" s="7" t="s">
        <v>84</v>
      </c>
      <c r="L11" s="7" t="s">
        <v>84</v>
      </c>
      <c r="M11" s="7" t="s">
        <v>84</v>
      </c>
      <c r="N11" s="7" t="s">
        <v>84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84</v>
      </c>
      <c r="Y11" s="7" t="s">
        <v>84</v>
      </c>
      <c r="Z11" s="7" t="s">
        <v>16</v>
      </c>
      <c r="AA11" s="7" t="s">
        <v>16</v>
      </c>
      <c r="AB11" s="7" t="s">
        <v>16</v>
      </c>
      <c r="AC11" s="7" t="s">
        <v>84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16</v>
      </c>
      <c r="J12" s="7" t="s">
        <v>84</v>
      </c>
      <c r="K12" s="7" t="s">
        <v>84</v>
      </c>
      <c r="L12" s="7" t="s">
        <v>84</v>
      </c>
      <c r="M12" s="7" t="s">
        <v>84</v>
      </c>
      <c r="N12" s="7" t="s">
        <v>84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84</v>
      </c>
      <c r="V12" s="7" t="s">
        <v>84</v>
      </c>
      <c r="W12" s="7" t="s">
        <v>84</v>
      </c>
      <c r="X12" s="7" t="s">
        <v>84</v>
      </c>
      <c r="Y12" s="7" t="s">
        <v>84</v>
      </c>
      <c r="Z12" s="7" t="s">
        <v>16</v>
      </c>
      <c r="AA12" s="7" t="s">
        <v>84</v>
      </c>
      <c r="AB12" s="7" t="s">
        <v>84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16</v>
      </c>
      <c r="J13" s="7" t="s">
        <v>84</v>
      </c>
      <c r="K13" s="7" t="s">
        <v>84</v>
      </c>
      <c r="L13" s="7" t="s">
        <v>84</v>
      </c>
      <c r="M13" s="7" t="s">
        <v>84</v>
      </c>
      <c r="N13" s="7" t="s">
        <v>84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84</v>
      </c>
      <c r="V13" s="7" t="s">
        <v>84</v>
      </c>
      <c r="W13" s="7" t="s">
        <v>84</v>
      </c>
      <c r="X13" s="7" t="s">
        <v>84</v>
      </c>
      <c r="Y13" s="7" t="s">
        <v>84</v>
      </c>
      <c r="Z13" s="7" t="s">
        <v>16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16</v>
      </c>
      <c r="J14" s="7" t="s">
        <v>84</v>
      </c>
      <c r="K14" s="7" t="s">
        <v>84</v>
      </c>
      <c r="L14" s="7" t="s">
        <v>84</v>
      </c>
      <c r="M14" s="7" t="s">
        <v>84</v>
      </c>
      <c r="N14" s="7" t="s">
        <v>84</v>
      </c>
      <c r="O14" s="7" t="s">
        <v>84</v>
      </c>
      <c r="P14" s="7" t="s">
        <v>84</v>
      </c>
      <c r="Q14" s="7" t="s">
        <v>84</v>
      </c>
      <c r="R14" s="7" t="s">
        <v>84</v>
      </c>
      <c r="S14" s="7" t="s">
        <v>84</v>
      </c>
      <c r="T14" s="7" t="s">
        <v>84</v>
      </c>
      <c r="U14" s="7" t="s">
        <v>84</v>
      </c>
      <c r="V14" s="7" t="s">
        <v>84</v>
      </c>
      <c r="W14" s="7" t="s">
        <v>84</v>
      </c>
      <c r="X14" s="7" t="s">
        <v>84</v>
      </c>
      <c r="Y14" s="7" t="s">
        <v>84</v>
      </c>
      <c r="Z14" s="7" t="s">
        <v>16</v>
      </c>
      <c r="AA14" s="7" t="s">
        <v>84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84</v>
      </c>
      <c r="H15" s="7" t="s">
        <v>84</v>
      </c>
      <c r="I15" s="7" t="s">
        <v>86</v>
      </c>
      <c r="J15" s="7" t="s">
        <v>84</v>
      </c>
      <c r="K15" s="7" t="s">
        <v>84</v>
      </c>
      <c r="L15" s="7" t="s">
        <v>84</v>
      </c>
      <c r="M15" s="7" t="s">
        <v>84</v>
      </c>
      <c r="N15" s="7" t="s">
        <v>84</v>
      </c>
      <c r="O15" s="7" t="s">
        <v>84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84</v>
      </c>
      <c r="U15" s="7" t="s">
        <v>84</v>
      </c>
      <c r="V15" s="7" t="s">
        <v>84</v>
      </c>
      <c r="W15" s="7" t="s">
        <v>84</v>
      </c>
      <c r="X15" s="7" t="s">
        <v>84</v>
      </c>
      <c r="Y15" s="7" t="s">
        <v>84</v>
      </c>
      <c r="Z15" s="7" t="s">
        <v>86</v>
      </c>
      <c r="AA15" s="7" t="s">
        <v>84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86</v>
      </c>
      <c r="J16" s="7" t="s">
        <v>84</v>
      </c>
      <c r="K16" s="7" t="s">
        <v>84</v>
      </c>
      <c r="L16" s="7" t="s">
        <v>88</v>
      </c>
      <c r="M16" s="7" t="s">
        <v>88</v>
      </c>
      <c r="N16" s="7" t="s">
        <v>84</v>
      </c>
      <c r="O16" s="7" t="s">
        <v>84</v>
      </c>
      <c r="P16" s="7" t="s">
        <v>84</v>
      </c>
      <c r="Q16" s="7" t="s">
        <v>84</v>
      </c>
      <c r="R16" s="7" t="s">
        <v>84</v>
      </c>
      <c r="S16" s="7" t="s">
        <v>84</v>
      </c>
      <c r="T16" s="7" t="s">
        <v>84</v>
      </c>
      <c r="U16" s="7" t="s">
        <v>84</v>
      </c>
      <c r="V16" s="7" t="s">
        <v>88</v>
      </c>
      <c r="W16" s="7" t="s">
        <v>88</v>
      </c>
      <c r="X16" s="7" t="s">
        <v>84</v>
      </c>
      <c r="Y16" s="7" t="s">
        <v>84</v>
      </c>
      <c r="Z16" s="7" t="s">
        <v>86</v>
      </c>
      <c r="AA16" s="7" t="s">
        <v>84</v>
      </c>
      <c r="AB16" s="7" t="s">
        <v>84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84</v>
      </c>
      <c r="H17" s="7" t="s">
        <v>84</v>
      </c>
      <c r="I17" s="7" t="s">
        <v>86</v>
      </c>
      <c r="J17" s="7" t="s">
        <v>84</v>
      </c>
      <c r="K17" s="7" t="s">
        <v>84</v>
      </c>
      <c r="L17" s="7" t="s">
        <v>88</v>
      </c>
      <c r="M17" s="7" t="s">
        <v>88</v>
      </c>
      <c r="N17" s="7" t="s">
        <v>84</v>
      </c>
      <c r="O17" s="7" t="s">
        <v>84</v>
      </c>
      <c r="P17" s="7" t="s">
        <v>84</v>
      </c>
      <c r="Q17" s="7" t="s">
        <v>84</v>
      </c>
      <c r="R17" s="7" t="s">
        <v>84</v>
      </c>
      <c r="S17" s="7" t="s">
        <v>84</v>
      </c>
      <c r="T17" s="7" t="s">
        <v>84</v>
      </c>
      <c r="U17" s="7" t="s">
        <v>84</v>
      </c>
      <c r="V17" s="7" t="s">
        <v>88</v>
      </c>
      <c r="W17" s="7" t="s">
        <v>88</v>
      </c>
      <c r="X17" s="7" t="s">
        <v>84</v>
      </c>
      <c r="Y17" s="7" t="s">
        <v>84</v>
      </c>
      <c r="Z17" s="7" t="s">
        <v>86</v>
      </c>
      <c r="AA17" s="7" t="s">
        <v>84</v>
      </c>
      <c r="AB17" s="7" t="s">
        <v>84</v>
      </c>
      <c r="AC17" s="7" t="s">
        <v>84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86</v>
      </c>
      <c r="J18" s="7" t="s">
        <v>84</v>
      </c>
      <c r="K18" s="7" t="s">
        <v>84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84</v>
      </c>
      <c r="Q18" s="7" t="s">
        <v>84</v>
      </c>
      <c r="R18" s="7" t="s">
        <v>84</v>
      </c>
      <c r="S18" s="7" t="s">
        <v>84</v>
      </c>
      <c r="T18" s="7" t="s">
        <v>84</v>
      </c>
      <c r="U18" s="7" t="s">
        <v>84</v>
      </c>
      <c r="V18" s="7" t="s">
        <v>84</v>
      </c>
      <c r="W18" s="7" t="s">
        <v>84</v>
      </c>
      <c r="X18" s="7" t="s">
        <v>84</v>
      </c>
      <c r="Y18" s="7" t="s">
        <v>84</v>
      </c>
      <c r="Z18" s="7" t="s">
        <v>86</v>
      </c>
      <c r="AA18" s="7" t="s">
        <v>84</v>
      </c>
      <c r="AB18" s="7" t="s">
        <v>84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16</v>
      </c>
      <c r="J19" s="7" t="s">
        <v>84</v>
      </c>
      <c r="K19" s="7" t="s">
        <v>84</v>
      </c>
      <c r="L19" s="7" t="s">
        <v>84</v>
      </c>
      <c r="M19" s="7" t="s">
        <v>84</v>
      </c>
      <c r="N19" s="7" t="s">
        <v>84</v>
      </c>
      <c r="O19" s="7" t="s">
        <v>84</v>
      </c>
      <c r="P19" s="7" t="s">
        <v>84</v>
      </c>
      <c r="Q19" s="7" t="s">
        <v>84</v>
      </c>
      <c r="R19" s="7" t="s">
        <v>84</v>
      </c>
      <c r="S19" s="7" t="s">
        <v>84</v>
      </c>
      <c r="T19" s="7" t="s">
        <v>84</v>
      </c>
      <c r="U19" s="7" t="s">
        <v>84</v>
      </c>
      <c r="V19" s="7" t="s">
        <v>84</v>
      </c>
      <c r="W19" s="7" t="s">
        <v>84</v>
      </c>
      <c r="X19" s="7" t="s">
        <v>84</v>
      </c>
      <c r="Y19" s="7" t="s">
        <v>84</v>
      </c>
      <c r="Z19" s="7" t="s">
        <v>16</v>
      </c>
      <c r="AA19" s="7" t="s">
        <v>84</v>
      </c>
      <c r="AB19" s="7" t="s">
        <v>84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16</v>
      </c>
      <c r="J20" s="7" t="s">
        <v>84</v>
      </c>
      <c r="K20" s="7" t="s">
        <v>84</v>
      </c>
      <c r="L20" s="7" t="s">
        <v>84</v>
      </c>
      <c r="M20" s="7" t="s">
        <v>84</v>
      </c>
      <c r="N20" s="7" t="s">
        <v>84</v>
      </c>
      <c r="O20" s="7" t="s">
        <v>84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84</v>
      </c>
      <c r="V20" s="7" t="s">
        <v>84</v>
      </c>
      <c r="W20" s="7" t="s">
        <v>84</v>
      </c>
      <c r="X20" s="7" t="s">
        <v>84</v>
      </c>
      <c r="Y20" s="7" t="s">
        <v>84</v>
      </c>
      <c r="Z20" s="7" t="s">
        <v>16</v>
      </c>
      <c r="AA20" s="7" t="s">
        <v>84</v>
      </c>
      <c r="AB20" s="7" t="s">
        <v>84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84</v>
      </c>
      <c r="G21" s="7" t="s">
        <v>84</v>
      </c>
      <c r="H21" s="7" t="s">
        <v>84</v>
      </c>
      <c r="I21" s="7" t="s">
        <v>16</v>
      </c>
      <c r="J21" s="7" t="s">
        <v>84</v>
      </c>
      <c r="K21" s="7" t="s">
        <v>84</v>
      </c>
      <c r="L21" s="7" t="s">
        <v>84</v>
      </c>
      <c r="M21" s="7" t="s">
        <v>84</v>
      </c>
      <c r="N21" s="7" t="s">
        <v>84</v>
      </c>
      <c r="O21" s="7" t="s">
        <v>84</v>
      </c>
      <c r="P21" s="7" t="s">
        <v>84</v>
      </c>
      <c r="Q21" s="7" t="s">
        <v>84</v>
      </c>
      <c r="R21" s="7" t="s">
        <v>84</v>
      </c>
      <c r="S21" s="7" t="s">
        <v>84</v>
      </c>
      <c r="T21" s="7" t="s">
        <v>84</v>
      </c>
      <c r="U21" s="7" t="s">
        <v>84</v>
      </c>
      <c r="V21" s="7" t="s">
        <v>84</v>
      </c>
      <c r="W21" s="7" t="s">
        <v>84</v>
      </c>
      <c r="X21" s="7" t="s">
        <v>84</v>
      </c>
      <c r="Y21" s="7" t="s">
        <v>84</v>
      </c>
      <c r="Z21" s="7" t="s">
        <v>16</v>
      </c>
      <c r="AA21" s="7" t="s">
        <v>84</v>
      </c>
      <c r="AB21" s="7" t="s">
        <v>84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16</v>
      </c>
      <c r="H22" s="7" t="s">
        <v>16</v>
      </c>
      <c r="I22" s="7" t="s">
        <v>16</v>
      </c>
      <c r="J22" s="7" t="s">
        <v>84</v>
      </c>
      <c r="K22" s="7" t="s">
        <v>84</v>
      </c>
      <c r="L22" s="7" t="s">
        <v>84</v>
      </c>
      <c r="M22" s="7" t="s">
        <v>84</v>
      </c>
      <c r="N22" s="7" t="s">
        <v>84</v>
      </c>
      <c r="O22" s="7" t="s">
        <v>84</v>
      </c>
      <c r="P22" s="7" t="s">
        <v>84</v>
      </c>
      <c r="Q22" s="7" t="s">
        <v>84</v>
      </c>
      <c r="R22" s="7" t="s">
        <v>84</v>
      </c>
      <c r="S22" s="7" t="s">
        <v>84</v>
      </c>
      <c r="T22" s="7" t="s">
        <v>84</v>
      </c>
      <c r="U22" s="7" t="s">
        <v>84</v>
      </c>
      <c r="V22" s="7" t="s">
        <v>84</v>
      </c>
      <c r="W22" s="7" t="s">
        <v>84</v>
      </c>
      <c r="X22" s="7" t="s">
        <v>84</v>
      </c>
      <c r="Y22" s="7" t="s">
        <v>84</v>
      </c>
      <c r="Z22" s="7" t="s">
        <v>16</v>
      </c>
      <c r="AA22" s="7" t="s">
        <v>16</v>
      </c>
      <c r="AB22" s="7" t="s">
        <v>16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84</v>
      </c>
      <c r="L23" s="7" t="s">
        <v>84</v>
      </c>
      <c r="M23" s="7" t="s">
        <v>84</v>
      </c>
      <c r="N23" s="7" t="s">
        <v>16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84</v>
      </c>
      <c r="T23" s="7" t="s">
        <v>84</v>
      </c>
      <c r="U23" s="7" t="s">
        <v>16</v>
      </c>
      <c r="V23" s="7" t="s">
        <v>84</v>
      </c>
      <c r="W23" s="7" t="s">
        <v>84</v>
      </c>
      <c r="X23" s="7" t="s">
        <v>84</v>
      </c>
      <c r="Y23" s="7" t="s">
        <v>84</v>
      </c>
      <c r="Z23" s="7" t="s">
        <v>84</v>
      </c>
      <c r="AA23" s="7" t="s">
        <v>84</v>
      </c>
      <c r="AB23" s="7" t="s">
        <v>84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84</v>
      </c>
      <c r="J24" s="7" t="s">
        <v>84</v>
      </c>
      <c r="K24" s="7" t="s">
        <v>84</v>
      </c>
      <c r="L24" s="7" t="s">
        <v>84</v>
      </c>
      <c r="M24" s="7" t="s">
        <v>84</v>
      </c>
      <c r="N24" s="7" t="s">
        <v>16</v>
      </c>
      <c r="O24" s="7" t="s">
        <v>16</v>
      </c>
      <c r="P24" s="7" t="s">
        <v>16</v>
      </c>
      <c r="Q24" s="7" t="s">
        <v>84</v>
      </c>
      <c r="R24" s="7" t="s">
        <v>84</v>
      </c>
      <c r="S24" s="7" t="s">
        <v>16</v>
      </c>
      <c r="T24" s="7" t="s">
        <v>16</v>
      </c>
      <c r="U24" s="7" t="s">
        <v>16</v>
      </c>
      <c r="V24" s="7" t="s">
        <v>84</v>
      </c>
      <c r="W24" s="7" t="s">
        <v>84</v>
      </c>
      <c r="X24" s="7" t="s">
        <v>84</v>
      </c>
      <c r="Y24" s="7" t="s">
        <v>84</v>
      </c>
      <c r="Z24" s="7" t="s">
        <v>84</v>
      </c>
      <c r="AA24" s="7" t="s">
        <v>84</v>
      </c>
      <c r="AB24" s="7" t="s">
        <v>84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84</v>
      </c>
      <c r="J25" s="7" t="s">
        <v>84</v>
      </c>
      <c r="K25" s="7" t="s">
        <v>84</v>
      </c>
      <c r="L25" s="7" t="s">
        <v>84</v>
      </c>
      <c r="M25" s="7" t="s">
        <v>84</v>
      </c>
      <c r="N25" s="7" t="s">
        <v>84</v>
      </c>
      <c r="O25" s="7" t="s">
        <v>84</v>
      </c>
      <c r="P25" s="7" t="s">
        <v>84</v>
      </c>
      <c r="Q25" s="7" t="s">
        <v>84</v>
      </c>
      <c r="R25" s="7" t="s">
        <v>84</v>
      </c>
      <c r="S25" s="7" t="s">
        <v>84</v>
      </c>
      <c r="T25" s="7" t="s">
        <v>84</v>
      </c>
      <c r="U25" s="7" t="s">
        <v>84</v>
      </c>
      <c r="V25" s="7" t="s">
        <v>84</v>
      </c>
      <c r="W25" s="7" t="s">
        <v>84</v>
      </c>
      <c r="X25" s="7" t="s">
        <v>84</v>
      </c>
      <c r="Y25" s="7" t="s">
        <v>84</v>
      </c>
      <c r="Z25" s="7" t="s">
        <v>84</v>
      </c>
      <c r="AA25" s="7" t="s">
        <v>84</v>
      </c>
      <c r="AB25" s="7" t="s">
        <v>84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84</v>
      </c>
      <c r="S26" s="7" t="s">
        <v>84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88</v>
      </c>
      <c r="J27" s="7" t="s">
        <v>88</v>
      </c>
      <c r="K27" s="7" t="s">
        <v>88</v>
      </c>
      <c r="L27" s="7" t="s">
        <v>88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84</v>
      </c>
      <c r="R27" s="7" t="s">
        <v>84</v>
      </c>
      <c r="S27" s="7" t="s">
        <v>84</v>
      </c>
      <c r="T27" s="7" t="s">
        <v>84</v>
      </c>
      <c r="U27" s="7" t="s">
        <v>84</v>
      </c>
      <c r="V27" s="7" t="s">
        <v>84</v>
      </c>
      <c r="W27" s="7" t="s">
        <v>88</v>
      </c>
      <c r="X27" s="7" t="s">
        <v>88</v>
      </c>
      <c r="Y27" s="7" t="s">
        <v>88</v>
      </c>
      <c r="Z27" s="7" t="s">
        <v>88</v>
      </c>
      <c r="AA27" s="7" t="s">
        <v>84</v>
      </c>
      <c r="AB27" s="7" t="s">
        <v>84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84</v>
      </c>
      <c r="L28" s="7" t="s">
        <v>84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84</v>
      </c>
      <c r="S28" s="7" t="s">
        <v>84</v>
      </c>
      <c r="T28" s="7" t="s">
        <v>84</v>
      </c>
      <c r="U28" s="7" t="s">
        <v>84</v>
      </c>
      <c r="V28" s="7" t="s">
        <v>84</v>
      </c>
      <c r="W28" s="7" t="s">
        <v>84</v>
      </c>
      <c r="X28" s="7" t="s">
        <v>84</v>
      </c>
      <c r="Y28" s="7" t="s">
        <v>84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16</v>
      </c>
      <c r="R29" s="7" t="s">
        <v>16</v>
      </c>
      <c r="S29" s="7" t="s">
        <v>84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84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16</v>
      </c>
      <c r="R30" s="7" t="s">
        <v>16</v>
      </c>
      <c r="S30" s="7" t="s">
        <v>84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84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281" priority="31" operator="equal">
      <formula>"s"</formula>
    </cfRule>
    <cfRule type="colorScale" priority="32">
      <colorScale>
        <cfvo type="min"/>
        <cfvo type="max"/>
        <color rgb="FFFF7128"/>
        <color rgb="FFFFEF9C"/>
      </colorScale>
    </cfRule>
    <cfRule type="cellIs" dxfId="280" priority="33" operator="equal">
      <formula>"h"</formula>
    </cfRule>
    <cfRule type="cellIs" dxfId="279" priority="34" operator="equal">
      <formula>"d"</formula>
    </cfRule>
    <cfRule type="cellIs" dxfId="278" priority="35" operator="equal">
      <formula>"o"</formula>
    </cfRule>
    <cfRule type="cellIs" dxfId="277" priority="3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C2" sqref="C2:AF31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84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88</v>
      </c>
      <c r="O3" s="7" t="s">
        <v>84</v>
      </c>
      <c r="P3" s="7" t="s">
        <v>84</v>
      </c>
      <c r="Q3" s="7" t="s">
        <v>84</v>
      </c>
      <c r="R3" s="7" t="s">
        <v>84</v>
      </c>
      <c r="S3" s="7" t="s">
        <v>84</v>
      </c>
      <c r="T3" s="7" t="s">
        <v>84</v>
      </c>
      <c r="U3" s="7" t="s">
        <v>88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84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88</v>
      </c>
      <c r="O4" s="7" t="s">
        <v>84</v>
      </c>
      <c r="P4" s="7" t="s">
        <v>84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88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16</v>
      </c>
      <c r="G5" s="7" t="s">
        <v>16</v>
      </c>
      <c r="H5" s="7" t="s">
        <v>16</v>
      </c>
      <c r="I5" s="7" t="s">
        <v>84</v>
      </c>
      <c r="J5" s="7" t="s">
        <v>84</v>
      </c>
      <c r="K5" s="7" t="s">
        <v>16</v>
      </c>
      <c r="L5" s="7" t="s">
        <v>84</v>
      </c>
      <c r="M5" s="7" t="s">
        <v>84</v>
      </c>
      <c r="N5" s="7" t="s">
        <v>88</v>
      </c>
      <c r="O5" s="7" t="s">
        <v>84</v>
      </c>
      <c r="P5" s="7" t="s">
        <v>84</v>
      </c>
      <c r="Q5" s="7" t="s">
        <v>16</v>
      </c>
      <c r="R5" s="7" t="s">
        <v>16</v>
      </c>
      <c r="S5" s="7" t="s">
        <v>84</v>
      </c>
      <c r="T5" s="7" t="s">
        <v>84</v>
      </c>
      <c r="U5" s="7" t="s">
        <v>88</v>
      </c>
      <c r="V5" s="7" t="s">
        <v>84</v>
      </c>
      <c r="W5" s="7" t="s">
        <v>84</v>
      </c>
      <c r="X5" s="7" t="s">
        <v>16</v>
      </c>
      <c r="Y5" s="7" t="s">
        <v>84</v>
      </c>
      <c r="Z5" s="7" t="s">
        <v>84</v>
      </c>
      <c r="AA5" s="7" t="s">
        <v>16</v>
      </c>
      <c r="AB5" s="7" t="s">
        <v>16</v>
      </c>
      <c r="AC5" s="7" t="s">
        <v>16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84</v>
      </c>
      <c r="H6" s="7" t="s">
        <v>84</v>
      </c>
      <c r="I6" s="7" t="s">
        <v>84</v>
      </c>
      <c r="J6" s="7" t="s">
        <v>84</v>
      </c>
      <c r="K6" s="7" t="s">
        <v>16</v>
      </c>
      <c r="L6" s="7" t="s">
        <v>84</v>
      </c>
      <c r="M6" s="7" t="s">
        <v>84</v>
      </c>
      <c r="N6" s="7" t="s">
        <v>84</v>
      </c>
      <c r="O6" s="7" t="s">
        <v>84</v>
      </c>
      <c r="P6" s="7" t="s">
        <v>84</v>
      </c>
      <c r="Q6" s="7" t="s">
        <v>16</v>
      </c>
      <c r="R6" s="7" t="s">
        <v>16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84</v>
      </c>
      <c r="X6" s="7" t="s">
        <v>16</v>
      </c>
      <c r="Y6" s="7" t="s">
        <v>84</v>
      </c>
      <c r="Z6" s="7" t="s">
        <v>84</v>
      </c>
      <c r="AA6" s="7" t="s">
        <v>84</v>
      </c>
      <c r="AB6" s="7" t="s">
        <v>84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84</v>
      </c>
      <c r="H7" s="7" t="s">
        <v>84</v>
      </c>
      <c r="I7" s="7" t="s">
        <v>84</v>
      </c>
      <c r="J7" s="7" t="s">
        <v>84</v>
      </c>
      <c r="K7" s="7" t="s">
        <v>88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88</v>
      </c>
      <c r="R7" s="7" t="s">
        <v>88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88</v>
      </c>
      <c r="Y7" s="7" t="s">
        <v>84</v>
      </c>
      <c r="Z7" s="7" t="s">
        <v>84</v>
      </c>
      <c r="AA7" s="7" t="s">
        <v>84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88</v>
      </c>
      <c r="G8" s="7" t="s">
        <v>88</v>
      </c>
      <c r="H8" s="7" t="s">
        <v>88</v>
      </c>
      <c r="I8" s="7" t="s">
        <v>84</v>
      </c>
      <c r="J8" s="7" t="s">
        <v>84</v>
      </c>
      <c r="K8" s="7" t="s">
        <v>88</v>
      </c>
      <c r="L8" s="7" t="s">
        <v>88</v>
      </c>
      <c r="M8" s="7" t="s">
        <v>16</v>
      </c>
      <c r="N8" s="7" t="s">
        <v>16</v>
      </c>
      <c r="O8" s="7" t="s">
        <v>84</v>
      </c>
      <c r="P8" s="7" t="s">
        <v>84</v>
      </c>
      <c r="Q8" s="7" t="s">
        <v>88</v>
      </c>
      <c r="R8" s="7" t="s">
        <v>88</v>
      </c>
      <c r="S8" s="7" t="s">
        <v>84</v>
      </c>
      <c r="T8" s="7" t="s">
        <v>84</v>
      </c>
      <c r="U8" s="7" t="s">
        <v>16</v>
      </c>
      <c r="V8" s="7" t="s">
        <v>16</v>
      </c>
      <c r="W8" s="7" t="s">
        <v>88</v>
      </c>
      <c r="X8" s="7" t="s">
        <v>88</v>
      </c>
      <c r="Y8" s="7" t="s">
        <v>84</v>
      </c>
      <c r="Z8" s="7" t="s">
        <v>84</v>
      </c>
      <c r="AA8" s="7" t="s">
        <v>88</v>
      </c>
      <c r="AB8" s="7" t="s">
        <v>88</v>
      </c>
      <c r="AC8" s="7" t="s">
        <v>88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88</v>
      </c>
      <c r="G9" s="7" t="s">
        <v>84</v>
      </c>
      <c r="H9" s="7" t="s">
        <v>84</v>
      </c>
      <c r="I9" s="7" t="s">
        <v>84</v>
      </c>
      <c r="J9" s="7" t="s">
        <v>84</v>
      </c>
      <c r="K9" s="7" t="s">
        <v>84</v>
      </c>
      <c r="L9" s="7" t="s">
        <v>84</v>
      </c>
      <c r="M9" s="7" t="s">
        <v>84</v>
      </c>
      <c r="N9" s="7" t="s">
        <v>84</v>
      </c>
      <c r="O9" s="7" t="s">
        <v>84</v>
      </c>
      <c r="P9" s="7" t="s">
        <v>84</v>
      </c>
      <c r="Q9" s="7" t="s">
        <v>88</v>
      </c>
      <c r="R9" s="7" t="s">
        <v>88</v>
      </c>
      <c r="S9" s="7" t="s">
        <v>84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84</v>
      </c>
      <c r="AA9" s="7" t="s">
        <v>84</v>
      </c>
      <c r="AB9" s="7" t="s">
        <v>84</v>
      </c>
      <c r="AC9" s="7" t="s">
        <v>88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88</v>
      </c>
      <c r="G10" s="7" t="s">
        <v>84</v>
      </c>
      <c r="H10" s="7" t="s">
        <v>84</v>
      </c>
      <c r="I10" s="7" t="s">
        <v>84</v>
      </c>
      <c r="J10" s="7" t="s">
        <v>84</v>
      </c>
      <c r="K10" s="7" t="s">
        <v>84</v>
      </c>
      <c r="L10" s="7" t="s">
        <v>84</v>
      </c>
      <c r="M10" s="7" t="s">
        <v>84</v>
      </c>
      <c r="N10" s="7" t="s">
        <v>84</v>
      </c>
      <c r="O10" s="7" t="s">
        <v>84</v>
      </c>
      <c r="P10" s="7" t="s">
        <v>84</v>
      </c>
      <c r="Q10" s="7" t="s">
        <v>88</v>
      </c>
      <c r="R10" s="7" t="s">
        <v>88</v>
      </c>
      <c r="S10" s="7" t="s">
        <v>84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84</v>
      </c>
      <c r="Y10" s="7" t="s">
        <v>84</v>
      </c>
      <c r="Z10" s="7" t="s">
        <v>84</v>
      </c>
      <c r="AA10" s="7" t="s">
        <v>84</v>
      </c>
      <c r="AB10" s="7" t="s">
        <v>84</v>
      </c>
      <c r="AC10" s="7" t="s">
        <v>88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88</v>
      </c>
      <c r="G11" s="7" t="s">
        <v>84</v>
      </c>
      <c r="H11" s="7" t="s">
        <v>84</v>
      </c>
      <c r="I11" s="7" t="s">
        <v>16</v>
      </c>
      <c r="J11" s="7" t="s">
        <v>16</v>
      </c>
      <c r="K11" s="7" t="s">
        <v>16</v>
      </c>
      <c r="L11" s="7" t="s">
        <v>84</v>
      </c>
      <c r="M11" s="7" t="s">
        <v>84</v>
      </c>
      <c r="N11" s="7" t="s">
        <v>88</v>
      </c>
      <c r="O11" s="7" t="s">
        <v>88</v>
      </c>
      <c r="P11" s="7" t="s">
        <v>88</v>
      </c>
      <c r="Q11" s="7" t="s">
        <v>88</v>
      </c>
      <c r="R11" s="7" t="s">
        <v>88</v>
      </c>
      <c r="S11" s="7" t="s">
        <v>88</v>
      </c>
      <c r="T11" s="7" t="s">
        <v>88</v>
      </c>
      <c r="U11" s="7" t="s">
        <v>88</v>
      </c>
      <c r="V11" s="7" t="s">
        <v>84</v>
      </c>
      <c r="W11" s="7" t="s">
        <v>84</v>
      </c>
      <c r="X11" s="7" t="s">
        <v>16</v>
      </c>
      <c r="Y11" s="7" t="s">
        <v>16</v>
      </c>
      <c r="Z11" s="7" t="s">
        <v>16</v>
      </c>
      <c r="AA11" s="7" t="s">
        <v>84</v>
      </c>
      <c r="AB11" s="7" t="s">
        <v>84</v>
      </c>
      <c r="AC11" s="7" t="s">
        <v>88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84</v>
      </c>
      <c r="J12" s="7" t="s">
        <v>84</v>
      </c>
      <c r="K12" s="7" t="s">
        <v>84</v>
      </c>
      <c r="L12" s="7" t="s">
        <v>84</v>
      </c>
      <c r="M12" s="7" t="s">
        <v>84</v>
      </c>
      <c r="N12" s="7" t="s">
        <v>84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84</v>
      </c>
      <c r="V12" s="7" t="s">
        <v>84</v>
      </c>
      <c r="W12" s="7" t="s">
        <v>84</v>
      </c>
      <c r="X12" s="7" t="s">
        <v>84</v>
      </c>
      <c r="Y12" s="7" t="s">
        <v>84</v>
      </c>
      <c r="Z12" s="7" t="s">
        <v>84</v>
      </c>
      <c r="AA12" s="7" t="s">
        <v>84</v>
      </c>
      <c r="AB12" s="7" t="s">
        <v>84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84</v>
      </c>
      <c r="J13" s="7" t="s">
        <v>84</v>
      </c>
      <c r="K13" s="7" t="s">
        <v>84</v>
      </c>
      <c r="L13" s="7" t="s">
        <v>84</v>
      </c>
      <c r="M13" s="7" t="s">
        <v>84</v>
      </c>
      <c r="N13" s="7" t="s">
        <v>84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84</v>
      </c>
      <c r="V13" s="7" t="s">
        <v>84</v>
      </c>
      <c r="W13" s="7" t="s">
        <v>84</v>
      </c>
      <c r="X13" s="7" t="s">
        <v>84</v>
      </c>
      <c r="Y13" s="7" t="s">
        <v>84</v>
      </c>
      <c r="Z13" s="7" t="s">
        <v>84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88</v>
      </c>
      <c r="G14" s="7" t="s">
        <v>88</v>
      </c>
      <c r="H14" s="7" t="s">
        <v>88</v>
      </c>
      <c r="I14" s="7" t="s">
        <v>84</v>
      </c>
      <c r="J14" s="7" t="s">
        <v>84</v>
      </c>
      <c r="K14" s="7" t="s">
        <v>16</v>
      </c>
      <c r="L14" s="7" t="s">
        <v>84</v>
      </c>
      <c r="M14" s="7" t="s">
        <v>84</v>
      </c>
      <c r="N14" s="7" t="s">
        <v>16</v>
      </c>
      <c r="O14" s="7" t="s">
        <v>16</v>
      </c>
      <c r="P14" s="7" t="s">
        <v>88</v>
      </c>
      <c r="Q14" s="7" t="s">
        <v>88</v>
      </c>
      <c r="R14" s="7" t="s">
        <v>88</v>
      </c>
      <c r="S14" s="7" t="s">
        <v>88</v>
      </c>
      <c r="T14" s="7" t="s">
        <v>16</v>
      </c>
      <c r="U14" s="7" t="s">
        <v>16</v>
      </c>
      <c r="V14" s="7" t="s">
        <v>84</v>
      </c>
      <c r="W14" s="7" t="s">
        <v>84</v>
      </c>
      <c r="X14" s="7" t="s">
        <v>16</v>
      </c>
      <c r="Y14" s="7" t="s">
        <v>84</v>
      </c>
      <c r="Z14" s="7" t="s">
        <v>84</v>
      </c>
      <c r="AA14" s="7" t="s">
        <v>88</v>
      </c>
      <c r="AB14" s="7" t="s">
        <v>88</v>
      </c>
      <c r="AC14" s="7" t="s">
        <v>88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88</v>
      </c>
      <c r="G15" s="7" t="s">
        <v>88</v>
      </c>
      <c r="H15" s="7" t="s">
        <v>88</v>
      </c>
      <c r="I15" s="7" t="s">
        <v>84</v>
      </c>
      <c r="J15" s="7" t="s">
        <v>84</v>
      </c>
      <c r="K15" s="7" t="s">
        <v>16</v>
      </c>
      <c r="L15" s="7" t="s">
        <v>84</v>
      </c>
      <c r="M15" s="7" t="s">
        <v>84</v>
      </c>
      <c r="N15" s="7" t="s">
        <v>16</v>
      </c>
      <c r="O15" s="7" t="s">
        <v>84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84</v>
      </c>
      <c r="U15" s="7" t="s">
        <v>16</v>
      </c>
      <c r="V15" s="7" t="s">
        <v>84</v>
      </c>
      <c r="W15" s="7" t="s">
        <v>84</v>
      </c>
      <c r="X15" s="7" t="s">
        <v>16</v>
      </c>
      <c r="Y15" s="7" t="s">
        <v>84</v>
      </c>
      <c r="Z15" s="7" t="s">
        <v>84</v>
      </c>
      <c r="AA15" s="7" t="s">
        <v>88</v>
      </c>
      <c r="AB15" s="7" t="s">
        <v>88</v>
      </c>
      <c r="AC15" s="7" t="s">
        <v>88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84</v>
      </c>
      <c r="J16" s="7" t="s">
        <v>84</v>
      </c>
      <c r="K16" s="7" t="s">
        <v>16</v>
      </c>
      <c r="L16" s="7" t="s">
        <v>84</v>
      </c>
      <c r="M16" s="7" t="s">
        <v>84</v>
      </c>
      <c r="N16" s="7" t="s">
        <v>16</v>
      </c>
      <c r="O16" s="7" t="s">
        <v>84</v>
      </c>
      <c r="P16" s="7" t="s">
        <v>84</v>
      </c>
      <c r="Q16" s="7" t="s">
        <v>84</v>
      </c>
      <c r="R16" s="7" t="s">
        <v>84</v>
      </c>
      <c r="S16" s="7" t="s">
        <v>84</v>
      </c>
      <c r="T16" s="7" t="s">
        <v>84</v>
      </c>
      <c r="U16" s="7" t="s">
        <v>16</v>
      </c>
      <c r="V16" s="7" t="s">
        <v>84</v>
      </c>
      <c r="W16" s="7" t="s">
        <v>84</v>
      </c>
      <c r="X16" s="7" t="s">
        <v>16</v>
      </c>
      <c r="Y16" s="7" t="s">
        <v>84</v>
      </c>
      <c r="Z16" s="7" t="s">
        <v>84</v>
      </c>
      <c r="AA16" s="7" t="s">
        <v>84</v>
      </c>
      <c r="AB16" s="7" t="s">
        <v>84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84</v>
      </c>
      <c r="H17" s="7" t="s">
        <v>84</v>
      </c>
      <c r="I17" s="7" t="s">
        <v>84</v>
      </c>
      <c r="J17" s="7" t="s">
        <v>84</v>
      </c>
      <c r="K17" s="7" t="s">
        <v>16</v>
      </c>
      <c r="L17" s="7" t="s">
        <v>84</v>
      </c>
      <c r="M17" s="7" t="s">
        <v>84</v>
      </c>
      <c r="N17" s="7" t="s">
        <v>16</v>
      </c>
      <c r="O17" s="7" t="s">
        <v>16</v>
      </c>
      <c r="P17" s="7" t="s">
        <v>86</v>
      </c>
      <c r="Q17" s="7" t="s">
        <v>86</v>
      </c>
      <c r="R17" s="7" t="s">
        <v>86</v>
      </c>
      <c r="S17" s="7" t="s">
        <v>86</v>
      </c>
      <c r="T17" s="7" t="s">
        <v>16</v>
      </c>
      <c r="U17" s="7" t="s">
        <v>16</v>
      </c>
      <c r="V17" s="7" t="s">
        <v>84</v>
      </c>
      <c r="W17" s="7" t="s">
        <v>84</v>
      </c>
      <c r="X17" s="7" t="s">
        <v>16</v>
      </c>
      <c r="Y17" s="7" t="s">
        <v>84</v>
      </c>
      <c r="Z17" s="7" t="s">
        <v>84</v>
      </c>
      <c r="AA17" s="7" t="s">
        <v>84</v>
      </c>
      <c r="AB17" s="7" t="s">
        <v>84</v>
      </c>
      <c r="AC17" s="7" t="s">
        <v>84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16</v>
      </c>
      <c r="G18" s="7" t="s">
        <v>16</v>
      </c>
      <c r="H18" s="7" t="s">
        <v>16</v>
      </c>
      <c r="I18" s="7" t="s">
        <v>84</v>
      </c>
      <c r="J18" s="7" t="s">
        <v>84</v>
      </c>
      <c r="K18" s="7" t="s">
        <v>88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84</v>
      </c>
      <c r="Q18" s="7" t="s">
        <v>84</v>
      </c>
      <c r="R18" s="7" t="s">
        <v>84</v>
      </c>
      <c r="S18" s="7" t="s">
        <v>84</v>
      </c>
      <c r="T18" s="7" t="s">
        <v>84</v>
      </c>
      <c r="U18" s="7" t="s">
        <v>84</v>
      </c>
      <c r="V18" s="7" t="s">
        <v>84</v>
      </c>
      <c r="W18" s="7" t="s">
        <v>84</v>
      </c>
      <c r="X18" s="7" t="s">
        <v>88</v>
      </c>
      <c r="Y18" s="7" t="s">
        <v>84</v>
      </c>
      <c r="Z18" s="7" t="s">
        <v>84</v>
      </c>
      <c r="AA18" s="7" t="s">
        <v>16</v>
      </c>
      <c r="AB18" s="7" t="s">
        <v>16</v>
      </c>
      <c r="AC18" s="7" t="s">
        <v>16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16</v>
      </c>
      <c r="I19" s="7" t="s">
        <v>84</v>
      </c>
      <c r="J19" s="7" t="s">
        <v>84</v>
      </c>
      <c r="K19" s="7" t="s">
        <v>88</v>
      </c>
      <c r="L19" s="7" t="s">
        <v>84</v>
      </c>
      <c r="M19" s="7" t="s">
        <v>84</v>
      </c>
      <c r="N19" s="7" t="s">
        <v>84</v>
      </c>
      <c r="O19" s="7" t="s">
        <v>84</v>
      </c>
      <c r="P19" s="7" t="s">
        <v>84</v>
      </c>
      <c r="Q19" s="7" t="s">
        <v>84</v>
      </c>
      <c r="R19" s="7" t="s">
        <v>84</v>
      </c>
      <c r="S19" s="7" t="s">
        <v>84</v>
      </c>
      <c r="T19" s="7" t="s">
        <v>84</v>
      </c>
      <c r="U19" s="7" t="s">
        <v>84</v>
      </c>
      <c r="V19" s="7" t="s">
        <v>84</v>
      </c>
      <c r="W19" s="7" t="s">
        <v>84</v>
      </c>
      <c r="X19" s="7" t="s">
        <v>88</v>
      </c>
      <c r="Y19" s="7" t="s">
        <v>84</v>
      </c>
      <c r="Z19" s="7" t="s">
        <v>84</v>
      </c>
      <c r="AA19" s="7" t="s">
        <v>16</v>
      </c>
      <c r="AB19" s="7" t="s">
        <v>84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16</v>
      </c>
      <c r="I20" s="7" t="s">
        <v>84</v>
      </c>
      <c r="J20" s="7" t="s">
        <v>84</v>
      </c>
      <c r="K20" s="7" t="s">
        <v>88</v>
      </c>
      <c r="L20" s="7" t="s">
        <v>84</v>
      </c>
      <c r="M20" s="7" t="s">
        <v>84</v>
      </c>
      <c r="N20" s="7" t="s">
        <v>88</v>
      </c>
      <c r="O20" s="7" t="s">
        <v>88</v>
      </c>
      <c r="P20" s="7" t="s">
        <v>88</v>
      </c>
      <c r="Q20" s="7" t="s">
        <v>88</v>
      </c>
      <c r="R20" s="7" t="s">
        <v>88</v>
      </c>
      <c r="S20" s="7" t="s">
        <v>88</v>
      </c>
      <c r="T20" s="7" t="s">
        <v>88</v>
      </c>
      <c r="U20" s="7" t="s">
        <v>88</v>
      </c>
      <c r="V20" s="7" t="s">
        <v>84</v>
      </c>
      <c r="W20" s="7" t="s">
        <v>84</v>
      </c>
      <c r="X20" s="7" t="s">
        <v>88</v>
      </c>
      <c r="Y20" s="7" t="s">
        <v>84</v>
      </c>
      <c r="Z20" s="7" t="s">
        <v>84</v>
      </c>
      <c r="AA20" s="7" t="s">
        <v>16</v>
      </c>
      <c r="AB20" s="7" t="s">
        <v>84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16</v>
      </c>
      <c r="E21" s="7" t="s">
        <v>16</v>
      </c>
      <c r="F21" s="7" t="s">
        <v>84</v>
      </c>
      <c r="G21" s="7" t="s">
        <v>84</v>
      </c>
      <c r="H21" s="7" t="s">
        <v>88</v>
      </c>
      <c r="I21" s="7" t="s">
        <v>84</v>
      </c>
      <c r="J21" s="7" t="s">
        <v>84</v>
      </c>
      <c r="K21" s="7" t="s">
        <v>84</v>
      </c>
      <c r="L21" s="7" t="s">
        <v>84</v>
      </c>
      <c r="M21" s="7" t="s">
        <v>84</v>
      </c>
      <c r="N21" s="7" t="s">
        <v>84</v>
      </c>
      <c r="O21" s="7" t="s">
        <v>84</v>
      </c>
      <c r="P21" s="7" t="s">
        <v>84</v>
      </c>
      <c r="Q21" s="7" t="s">
        <v>88</v>
      </c>
      <c r="R21" s="7" t="s">
        <v>88</v>
      </c>
      <c r="S21" s="7" t="s">
        <v>84</v>
      </c>
      <c r="T21" s="7" t="s">
        <v>84</v>
      </c>
      <c r="U21" s="7" t="s">
        <v>84</v>
      </c>
      <c r="V21" s="7" t="s">
        <v>84</v>
      </c>
      <c r="W21" s="7" t="s">
        <v>84</v>
      </c>
      <c r="X21" s="7" t="s">
        <v>84</v>
      </c>
      <c r="Y21" s="7" t="s">
        <v>84</v>
      </c>
      <c r="Z21" s="7" t="s">
        <v>84</v>
      </c>
      <c r="AA21" s="7" t="s">
        <v>88</v>
      </c>
      <c r="AB21" s="7" t="s">
        <v>84</v>
      </c>
      <c r="AC21" s="7" t="s">
        <v>84</v>
      </c>
      <c r="AD21" s="7" t="s">
        <v>16</v>
      </c>
      <c r="AE21" s="7" t="s">
        <v>16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88</v>
      </c>
      <c r="I22" s="7" t="s">
        <v>84</v>
      </c>
      <c r="J22" s="7" t="s">
        <v>84</v>
      </c>
      <c r="K22" s="7" t="s">
        <v>84</v>
      </c>
      <c r="L22" s="7" t="s">
        <v>84</v>
      </c>
      <c r="M22" s="7" t="s">
        <v>84</v>
      </c>
      <c r="N22" s="7" t="s">
        <v>84</v>
      </c>
      <c r="O22" s="7" t="s">
        <v>84</v>
      </c>
      <c r="P22" s="7" t="s">
        <v>84</v>
      </c>
      <c r="Q22" s="7" t="s">
        <v>84</v>
      </c>
      <c r="R22" s="7" t="s">
        <v>84</v>
      </c>
      <c r="S22" s="7" t="s">
        <v>84</v>
      </c>
      <c r="T22" s="7" t="s">
        <v>84</v>
      </c>
      <c r="U22" s="7" t="s">
        <v>84</v>
      </c>
      <c r="V22" s="7" t="s">
        <v>84</v>
      </c>
      <c r="W22" s="7" t="s">
        <v>84</v>
      </c>
      <c r="X22" s="7" t="s">
        <v>84</v>
      </c>
      <c r="Y22" s="7" t="s">
        <v>84</v>
      </c>
      <c r="Z22" s="7" t="s">
        <v>84</v>
      </c>
      <c r="AA22" s="7" t="s">
        <v>88</v>
      </c>
      <c r="AB22" s="7" t="s">
        <v>84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88</v>
      </c>
      <c r="I23" s="7" t="s">
        <v>84</v>
      </c>
      <c r="J23" s="7" t="s">
        <v>84</v>
      </c>
      <c r="K23" s="7" t="s">
        <v>16</v>
      </c>
      <c r="L23" s="7" t="s">
        <v>16</v>
      </c>
      <c r="M23" s="7" t="s">
        <v>16</v>
      </c>
      <c r="N23" s="7" t="s">
        <v>16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84</v>
      </c>
      <c r="T23" s="7" t="s">
        <v>84</v>
      </c>
      <c r="U23" s="7" t="s">
        <v>16</v>
      </c>
      <c r="V23" s="7" t="s">
        <v>16</v>
      </c>
      <c r="W23" s="7" t="s">
        <v>16</v>
      </c>
      <c r="X23" s="7" t="s">
        <v>16</v>
      </c>
      <c r="Y23" s="7" t="s">
        <v>84</v>
      </c>
      <c r="Z23" s="7" t="s">
        <v>84</v>
      </c>
      <c r="AA23" s="7" t="s">
        <v>88</v>
      </c>
      <c r="AB23" s="7" t="s">
        <v>84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88</v>
      </c>
      <c r="G24" s="7" t="s">
        <v>88</v>
      </c>
      <c r="H24" s="7" t="s">
        <v>88</v>
      </c>
      <c r="I24" s="7" t="s">
        <v>84</v>
      </c>
      <c r="J24" s="7" t="s">
        <v>84</v>
      </c>
      <c r="K24" s="7" t="s">
        <v>16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88</v>
      </c>
      <c r="R24" s="7" t="s">
        <v>88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16</v>
      </c>
      <c r="Y24" s="7" t="s">
        <v>84</v>
      </c>
      <c r="Z24" s="7" t="s">
        <v>84</v>
      </c>
      <c r="AA24" s="7" t="s">
        <v>88</v>
      </c>
      <c r="AB24" s="7" t="s">
        <v>88</v>
      </c>
      <c r="AC24" s="7" t="s">
        <v>88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84</v>
      </c>
      <c r="J25" s="7" t="s">
        <v>84</v>
      </c>
      <c r="K25" s="7" t="s">
        <v>16</v>
      </c>
      <c r="L25" s="7" t="s">
        <v>84</v>
      </c>
      <c r="M25" s="7" t="s">
        <v>84</v>
      </c>
      <c r="N25" s="7" t="s">
        <v>84</v>
      </c>
      <c r="O25" s="7" t="s">
        <v>84</v>
      </c>
      <c r="P25" s="7" t="s">
        <v>84</v>
      </c>
      <c r="Q25" s="7" t="s">
        <v>88</v>
      </c>
      <c r="R25" s="7" t="s">
        <v>88</v>
      </c>
      <c r="S25" s="7" t="s">
        <v>84</v>
      </c>
      <c r="T25" s="7" t="s">
        <v>84</v>
      </c>
      <c r="U25" s="7" t="s">
        <v>84</v>
      </c>
      <c r="V25" s="7" t="s">
        <v>84</v>
      </c>
      <c r="W25" s="7" t="s">
        <v>84</v>
      </c>
      <c r="X25" s="7" t="s">
        <v>16</v>
      </c>
      <c r="Y25" s="7" t="s">
        <v>84</v>
      </c>
      <c r="Z25" s="7" t="s">
        <v>84</v>
      </c>
      <c r="AA25" s="7" t="s">
        <v>84</v>
      </c>
      <c r="AB25" s="7" t="s">
        <v>84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16</v>
      </c>
      <c r="O26" s="7" t="s">
        <v>84</v>
      </c>
      <c r="P26" s="7" t="s">
        <v>84</v>
      </c>
      <c r="Q26" s="7" t="s">
        <v>84</v>
      </c>
      <c r="R26" s="7" t="s">
        <v>84</v>
      </c>
      <c r="S26" s="7" t="s">
        <v>84</v>
      </c>
      <c r="T26" s="7" t="s">
        <v>84</v>
      </c>
      <c r="U26" s="7" t="s">
        <v>16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16</v>
      </c>
      <c r="G27" s="7" t="s">
        <v>84</v>
      </c>
      <c r="H27" s="7" t="s">
        <v>84</v>
      </c>
      <c r="I27" s="7" t="s">
        <v>84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16</v>
      </c>
      <c r="O27" s="7" t="s">
        <v>84</v>
      </c>
      <c r="P27" s="7" t="s">
        <v>84</v>
      </c>
      <c r="Q27" s="7" t="s">
        <v>84</v>
      </c>
      <c r="R27" s="7" t="s">
        <v>84</v>
      </c>
      <c r="S27" s="7" t="s">
        <v>84</v>
      </c>
      <c r="T27" s="7" t="s">
        <v>84</v>
      </c>
      <c r="U27" s="7" t="s">
        <v>16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84</v>
      </c>
      <c r="AC27" s="7" t="s">
        <v>16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16</v>
      </c>
      <c r="G28" s="7" t="s">
        <v>16</v>
      </c>
      <c r="H28" s="7" t="s">
        <v>16</v>
      </c>
      <c r="I28" s="7" t="s">
        <v>16</v>
      </c>
      <c r="J28" s="7" t="s">
        <v>16</v>
      </c>
      <c r="K28" s="7" t="s">
        <v>16</v>
      </c>
      <c r="L28" s="7" t="s">
        <v>84</v>
      </c>
      <c r="M28" s="7" t="s">
        <v>84</v>
      </c>
      <c r="N28" s="7" t="s">
        <v>88</v>
      </c>
      <c r="O28" s="7" t="s">
        <v>88</v>
      </c>
      <c r="P28" s="7" t="s">
        <v>88</v>
      </c>
      <c r="Q28" s="7" t="s">
        <v>88</v>
      </c>
      <c r="R28" s="7" t="s">
        <v>88</v>
      </c>
      <c r="S28" s="7" t="s">
        <v>88</v>
      </c>
      <c r="T28" s="7" t="s">
        <v>88</v>
      </c>
      <c r="U28" s="7" t="s">
        <v>16</v>
      </c>
      <c r="V28" s="7" t="s">
        <v>84</v>
      </c>
      <c r="W28" s="7" t="s">
        <v>84</v>
      </c>
      <c r="X28" s="7" t="s">
        <v>16</v>
      </c>
      <c r="Y28" s="7" t="s">
        <v>16</v>
      </c>
      <c r="Z28" s="7" t="s">
        <v>16</v>
      </c>
      <c r="AA28" s="7" t="s">
        <v>16</v>
      </c>
      <c r="AB28" s="7" t="s">
        <v>16</v>
      </c>
      <c r="AC28" s="7" t="s">
        <v>16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84</v>
      </c>
      <c r="S29" s="7" t="s">
        <v>84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84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84</v>
      </c>
      <c r="S30" s="7" t="s">
        <v>84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84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276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275" priority="3" operator="equal">
      <formula>"h"</formula>
    </cfRule>
    <cfRule type="cellIs" dxfId="274" priority="4" operator="equal">
      <formula>"d"</formula>
    </cfRule>
    <cfRule type="cellIs" dxfId="273" priority="5" operator="equal">
      <formula>"o"</formula>
    </cfRule>
    <cfRule type="cellIs" dxfId="272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AL1" sqref="AL1:BM1048576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90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84</v>
      </c>
      <c r="R3" s="7" t="s">
        <v>84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84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88</v>
      </c>
      <c r="I5" s="7" t="s">
        <v>84</v>
      </c>
      <c r="J5" s="7" t="s">
        <v>84</v>
      </c>
      <c r="K5" s="7" t="s">
        <v>84</v>
      </c>
      <c r="L5" s="7" t="s">
        <v>88</v>
      </c>
      <c r="M5" s="7" t="s">
        <v>84</v>
      </c>
      <c r="N5" s="7" t="s">
        <v>84</v>
      </c>
      <c r="O5" s="7" t="s">
        <v>88</v>
      </c>
      <c r="P5" s="7" t="s">
        <v>84</v>
      </c>
      <c r="Q5" s="7" t="s">
        <v>84</v>
      </c>
      <c r="R5" s="7" t="s">
        <v>16</v>
      </c>
      <c r="S5" s="7" t="s">
        <v>16</v>
      </c>
      <c r="T5" s="7" t="s">
        <v>16</v>
      </c>
      <c r="U5" s="7" t="s">
        <v>84</v>
      </c>
      <c r="V5" s="7" t="s">
        <v>84</v>
      </c>
      <c r="W5" s="7" t="s">
        <v>84</v>
      </c>
      <c r="X5" s="7" t="s">
        <v>88</v>
      </c>
      <c r="Y5" s="7" t="s">
        <v>84</v>
      </c>
      <c r="Z5" s="7" t="s">
        <v>84</v>
      </c>
      <c r="AA5" s="7" t="s">
        <v>88</v>
      </c>
      <c r="AB5" s="7" t="s">
        <v>84</v>
      </c>
      <c r="AC5" s="7" t="s">
        <v>84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88</v>
      </c>
      <c r="H6" s="7" t="s">
        <v>84</v>
      </c>
      <c r="I6" s="7" t="s">
        <v>88</v>
      </c>
      <c r="J6" s="7" t="s">
        <v>84</v>
      </c>
      <c r="K6" s="7" t="s">
        <v>84</v>
      </c>
      <c r="L6" s="7" t="s">
        <v>88</v>
      </c>
      <c r="M6" s="7" t="s">
        <v>88</v>
      </c>
      <c r="N6" s="7" t="s">
        <v>84</v>
      </c>
      <c r="O6" s="7" t="s">
        <v>88</v>
      </c>
      <c r="P6" s="7" t="s">
        <v>84</v>
      </c>
      <c r="Q6" s="7" t="s">
        <v>84</v>
      </c>
      <c r="R6" s="7" t="s">
        <v>16</v>
      </c>
      <c r="S6" s="7" t="s">
        <v>84</v>
      </c>
      <c r="T6" s="7" t="s">
        <v>84</v>
      </c>
      <c r="U6" s="7" t="s">
        <v>16</v>
      </c>
      <c r="V6" s="7" t="s">
        <v>84</v>
      </c>
      <c r="W6" s="7" t="s">
        <v>84</v>
      </c>
      <c r="X6" s="7" t="s">
        <v>88</v>
      </c>
      <c r="Y6" s="7" t="s">
        <v>84</v>
      </c>
      <c r="Z6" s="7" t="s">
        <v>84</v>
      </c>
      <c r="AA6" s="7" t="s">
        <v>88</v>
      </c>
      <c r="AB6" s="7" t="s">
        <v>84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88</v>
      </c>
      <c r="G7" s="7" t="s">
        <v>84</v>
      </c>
      <c r="H7" s="7" t="s">
        <v>84</v>
      </c>
      <c r="I7" s="7" t="s">
        <v>88</v>
      </c>
      <c r="J7" s="7" t="s">
        <v>84</v>
      </c>
      <c r="K7" s="7" t="s">
        <v>84</v>
      </c>
      <c r="L7" s="7" t="s">
        <v>88</v>
      </c>
      <c r="M7" s="7" t="s">
        <v>84</v>
      </c>
      <c r="N7" s="7" t="s">
        <v>88</v>
      </c>
      <c r="O7" s="7" t="s">
        <v>88</v>
      </c>
      <c r="P7" s="7" t="s">
        <v>84</v>
      </c>
      <c r="Q7" s="7" t="s">
        <v>84</v>
      </c>
      <c r="R7" s="7" t="s">
        <v>16</v>
      </c>
      <c r="S7" s="7" t="s">
        <v>84</v>
      </c>
      <c r="T7" s="7" t="s">
        <v>84</v>
      </c>
      <c r="U7" s="7" t="s">
        <v>16</v>
      </c>
      <c r="V7" s="7" t="s">
        <v>84</v>
      </c>
      <c r="W7" s="7" t="s">
        <v>84</v>
      </c>
      <c r="X7" s="7" t="s">
        <v>84</v>
      </c>
      <c r="Y7" s="7" t="s">
        <v>88</v>
      </c>
      <c r="Z7" s="7" t="s">
        <v>88</v>
      </c>
      <c r="AA7" s="7" t="s">
        <v>84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88</v>
      </c>
      <c r="G8" s="7" t="s">
        <v>88</v>
      </c>
      <c r="H8" s="7" t="s">
        <v>88</v>
      </c>
      <c r="I8" s="7" t="s">
        <v>88</v>
      </c>
      <c r="J8" s="7" t="s">
        <v>84</v>
      </c>
      <c r="K8" s="7" t="s">
        <v>84</v>
      </c>
      <c r="L8" s="7" t="s">
        <v>88</v>
      </c>
      <c r="M8" s="7" t="s">
        <v>84</v>
      </c>
      <c r="N8" s="7" t="s">
        <v>88</v>
      </c>
      <c r="O8" s="7" t="s">
        <v>88</v>
      </c>
      <c r="P8" s="7" t="s">
        <v>84</v>
      </c>
      <c r="Q8" s="7" t="s">
        <v>84</v>
      </c>
      <c r="R8" s="7" t="s">
        <v>16</v>
      </c>
      <c r="S8" s="7" t="s">
        <v>84</v>
      </c>
      <c r="T8" s="7" t="s">
        <v>16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90</v>
      </c>
      <c r="Z8" s="7" t="s">
        <v>88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88</v>
      </c>
      <c r="G9" s="7" t="s">
        <v>84</v>
      </c>
      <c r="H9" s="7" t="s">
        <v>84</v>
      </c>
      <c r="I9" s="7" t="s">
        <v>88</v>
      </c>
      <c r="J9" s="7" t="s">
        <v>84</v>
      </c>
      <c r="K9" s="7" t="s">
        <v>84</v>
      </c>
      <c r="L9" s="7" t="s">
        <v>88</v>
      </c>
      <c r="M9" s="7" t="s">
        <v>84</v>
      </c>
      <c r="N9" s="7" t="s">
        <v>84</v>
      </c>
      <c r="O9" s="7" t="s">
        <v>88</v>
      </c>
      <c r="P9" s="7" t="s">
        <v>84</v>
      </c>
      <c r="Q9" s="7" t="s">
        <v>84</v>
      </c>
      <c r="R9" s="7" t="s">
        <v>16</v>
      </c>
      <c r="S9" s="7" t="s">
        <v>16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88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84</v>
      </c>
      <c r="J10" s="7" t="s">
        <v>84</v>
      </c>
      <c r="K10" s="7" t="s">
        <v>84</v>
      </c>
      <c r="L10" s="7" t="s">
        <v>84</v>
      </c>
      <c r="M10" s="7" t="s">
        <v>84</v>
      </c>
      <c r="N10" s="7" t="s">
        <v>84</v>
      </c>
      <c r="O10" s="7" t="s">
        <v>84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84</v>
      </c>
      <c r="Y10" s="7" t="s">
        <v>84</v>
      </c>
      <c r="Z10" s="7" t="s">
        <v>84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84</v>
      </c>
      <c r="H11" s="7" t="s">
        <v>84</v>
      </c>
      <c r="I11" s="7" t="s">
        <v>84</v>
      </c>
      <c r="J11" s="7" t="s">
        <v>84</v>
      </c>
      <c r="K11" s="7" t="s">
        <v>84</v>
      </c>
      <c r="L11" s="7" t="s">
        <v>84</v>
      </c>
      <c r="M11" s="7" t="s">
        <v>84</v>
      </c>
      <c r="N11" s="7" t="s">
        <v>84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84</v>
      </c>
      <c r="Y11" s="7" t="s">
        <v>84</v>
      </c>
      <c r="Z11" s="7" t="s">
        <v>84</v>
      </c>
      <c r="AA11" s="7" t="s">
        <v>84</v>
      </c>
      <c r="AB11" s="7" t="s">
        <v>84</v>
      </c>
      <c r="AC11" s="7" t="s">
        <v>84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88</v>
      </c>
      <c r="I12" s="7" t="s">
        <v>88</v>
      </c>
      <c r="J12" s="7" t="s">
        <v>84</v>
      </c>
      <c r="K12" s="7" t="s">
        <v>84</v>
      </c>
      <c r="L12" s="7" t="s">
        <v>88</v>
      </c>
      <c r="M12" s="7" t="s">
        <v>88</v>
      </c>
      <c r="N12" s="7" t="s">
        <v>88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16</v>
      </c>
      <c r="U12" s="7" t="s">
        <v>84</v>
      </c>
      <c r="V12" s="7" t="s">
        <v>84</v>
      </c>
      <c r="W12" s="7" t="s">
        <v>84</v>
      </c>
      <c r="X12" s="7" t="s">
        <v>88</v>
      </c>
      <c r="Y12" s="7" t="s">
        <v>84</v>
      </c>
      <c r="Z12" s="7" t="s">
        <v>84</v>
      </c>
      <c r="AA12" s="7" t="s">
        <v>84</v>
      </c>
      <c r="AB12" s="7" t="s">
        <v>88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88</v>
      </c>
      <c r="H13" s="7" t="s">
        <v>84</v>
      </c>
      <c r="I13" s="7" t="s">
        <v>88</v>
      </c>
      <c r="J13" s="7" t="s">
        <v>84</v>
      </c>
      <c r="K13" s="7" t="s">
        <v>84</v>
      </c>
      <c r="L13" s="7" t="s">
        <v>88</v>
      </c>
      <c r="M13" s="7" t="s">
        <v>84</v>
      </c>
      <c r="N13" s="7" t="s">
        <v>84</v>
      </c>
      <c r="O13" s="7" t="s">
        <v>88</v>
      </c>
      <c r="P13" s="7" t="s">
        <v>84</v>
      </c>
      <c r="Q13" s="7" t="s">
        <v>84</v>
      </c>
      <c r="R13" s="7" t="s">
        <v>84</v>
      </c>
      <c r="S13" s="7" t="s">
        <v>16</v>
      </c>
      <c r="T13" s="7" t="s">
        <v>84</v>
      </c>
      <c r="U13" s="7" t="s">
        <v>16</v>
      </c>
      <c r="V13" s="7" t="s">
        <v>84</v>
      </c>
      <c r="W13" s="7" t="s">
        <v>84</v>
      </c>
      <c r="X13" s="7" t="s">
        <v>88</v>
      </c>
      <c r="Y13" s="7" t="s">
        <v>88</v>
      </c>
      <c r="Z13" s="7" t="s">
        <v>84</v>
      </c>
      <c r="AA13" s="7" t="s">
        <v>88</v>
      </c>
      <c r="AB13" s="7" t="s">
        <v>88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88</v>
      </c>
      <c r="G14" s="7" t="s">
        <v>84</v>
      </c>
      <c r="H14" s="7" t="s">
        <v>84</v>
      </c>
      <c r="I14" s="7" t="s">
        <v>88</v>
      </c>
      <c r="J14" s="7" t="s">
        <v>84</v>
      </c>
      <c r="K14" s="7" t="s">
        <v>84</v>
      </c>
      <c r="L14" s="7" t="s">
        <v>88</v>
      </c>
      <c r="M14" s="7" t="s">
        <v>84</v>
      </c>
      <c r="N14" s="7" t="s">
        <v>84</v>
      </c>
      <c r="O14" s="7" t="s">
        <v>88</v>
      </c>
      <c r="P14" s="7" t="s">
        <v>84</v>
      </c>
      <c r="Q14" s="7" t="s">
        <v>84</v>
      </c>
      <c r="R14" s="7" t="s">
        <v>16</v>
      </c>
      <c r="S14" s="7" t="s">
        <v>84</v>
      </c>
      <c r="T14" s="7" t="s">
        <v>84</v>
      </c>
      <c r="U14" s="7" t="s">
        <v>16</v>
      </c>
      <c r="V14" s="7" t="s">
        <v>84</v>
      </c>
      <c r="W14" s="7" t="s">
        <v>84</v>
      </c>
      <c r="X14" s="7" t="s">
        <v>88</v>
      </c>
      <c r="Y14" s="7" t="s">
        <v>84</v>
      </c>
      <c r="Z14" s="7" t="s">
        <v>88</v>
      </c>
      <c r="AA14" s="7" t="s">
        <v>84</v>
      </c>
      <c r="AB14" s="7" t="s">
        <v>88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88</v>
      </c>
      <c r="G15" s="7" t="s">
        <v>88</v>
      </c>
      <c r="H15" s="7" t="s">
        <v>88</v>
      </c>
      <c r="I15" s="7" t="s">
        <v>88</v>
      </c>
      <c r="J15" s="7" t="s">
        <v>84</v>
      </c>
      <c r="K15" s="7" t="s">
        <v>84</v>
      </c>
      <c r="L15" s="7" t="s">
        <v>88</v>
      </c>
      <c r="M15" s="7" t="s">
        <v>84</v>
      </c>
      <c r="N15" s="7" t="s">
        <v>88</v>
      </c>
      <c r="O15" s="7" t="s">
        <v>84</v>
      </c>
      <c r="P15" s="7" t="s">
        <v>84</v>
      </c>
      <c r="Q15" s="7" t="s">
        <v>84</v>
      </c>
      <c r="R15" s="7" t="s">
        <v>16</v>
      </c>
      <c r="S15" s="7" t="s">
        <v>16</v>
      </c>
      <c r="T15" s="7" t="s">
        <v>16</v>
      </c>
      <c r="U15" s="7" t="s">
        <v>16</v>
      </c>
      <c r="V15" s="7" t="s">
        <v>84</v>
      </c>
      <c r="W15" s="7" t="s">
        <v>84</v>
      </c>
      <c r="X15" s="7" t="s">
        <v>88</v>
      </c>
      <c r="Y15" s="7" t="s">
        <v>84</v>
      </c>
      <c r="Z15" s="7" t="s">
        <v>84</v>
      </c>
      <c r="AA15" s="7" t="s">
        <v>84</v>
      </c>
      <c r="AB15" s="7" t="s">
        <v>88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88</v>
      </c>
      <c r="G16" s="7" t="s">
        <v>84</v>
      </c>
      <c r="H16" s="7" t="s">
        <v>84</v>
      </c>
      <c r="I16" s="7" t="s">
        <v>88</v>
      </c>
      <c r="J16" s="7" t="s">
        <v>84</v>
      </c>
      <c r="K16" s="7" t="s">
        <v>84</v>
      </c>
      <c r="L16" s="7" t="s">
        <v>88</v>
      </c>
      <c r="M16" s="7" t="s">
        <v>88</v>
      </c>
      <c r="N16" s="7" t="s">
        <v>84</v>
      </c>
      <c r="O16" s="7" t="s">
        <v>84</v>
      </c>
      <c r="P16" s="7" t="s">
        <v>84</v>
      </c>
      <c r="Q16" s="7" t="s">
        <v>84</v>
      </c>
      <c r="R16" s="7" t="s">
        <v>16</v>
      </c>
      <c r="S16" s="7" t="s">
        <v>84</v>
      </c>
      <c r="T16" s="7" t="s">
        <v>84</v>
      </c>
      <c r="U16" s="7" t="s">
        <v>16</v>
      </c>
      <c r="V16" s="7" t="s">
        <v>84</v>
      </c>
      <c r="W16" s="7" t="s">
        <v>84</v>
      </c>
      <c r="X16" s="7" t="s">
        <v>88</v>
      </c>
      <c r="Y16" s="7" t="s">
        <v>84</v>
      </c>
      <c r="Z16" s="7" t="s">
        <v>90</v>
      </c>
      <c r="AA16" s="7" t="s">
        <v>84</v>
      </c>
      <c r="AB16" s="7" t="s">
        <v>88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84</v>
      </c>
      <c r="H17" s="7" t="s">
        <v>84</v>
      </c>
      <c r="I17" s="7" t="s">
        <v>84</v>
      </c>
      <c r="J17" s="7" t="s">
        <v>84</v>
      </c>
      <c r="K17" s="7" t="s">
        <v>84</v>
      </c>
      <c r="L17" s="7" t="s">
        <v>84</v>
      </c>
      <c r="M17" s="7" t="s">
        <v>84</v>
      </c>
      <c r="N17" s="7" t="s">
        <v>84</v>
      </c>
      <c r="O17" s="7" t="s">
        <v>84</v>
      </c>
      <c r="P17" s="7" t="s">
        <v>84</v>
      </c>
      <c r="Q17" s="7" t="s">
        <v>84</v>
      </c>
      <c r="R17" s="7" t="s">
        <v>84</v>
      </c>
      <c r="S17" s="7" t="s">
        <v>84</v>
      </c>
      <c r="T17" s="7" t="s">
        <v>84</v>
      </c>
      <c r="U17" s="7" t="s">
        <v>84</v>
      </c>
      <c r="V17" s="7" t="s">
        <v>84</v>
      </c>
      <c r="W17" s="7" t="s">
        <v>84</v>
      </c>
      <c r="X17" s="7" t="s">
        <v>84</v>
      </c>
      <c r="Y17" s="7" t="s">
        <v>84</v>
      </c>
      <c r="Z17" s="7" t="s">
        <v>84</v>
      </c>
      <c r="AA17" s="7" t="s">
        <v>84</v>
      </c>
      <c r="AB17" s="7" t="s">
        <v>84</v>
      </c>
      <c r="AC17" s="7" t="s">
        <v>84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84</v>
      </c>
      <c r="K18" s="7" t="s">
        <v>84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84</v>
      </c>
      <c r="Q18" s="7" t="s">
        <v>84</v>
      </c>
      <c r="R18" s="7" t="s">
        <v>84</v>
      </c>
      <c r="S18" s="7" t="s">
        <v>84</v>
      </c>
      <c r="T18" s="7" t="s">
        <v>84</v>
      </c>
      <c r="U18" s="7" t="s">
        <v>84</v>
      </c>
      <c r="V18" s="7" t="s">
        <v>84</v>
      </c>
      <c r="W18" s="7" t="s">
        <v>84</v>
      </c>
      <c r="X18" s="7" t="s">
        <v>84</v>
      </c>
      <c r="Y18" s="7" t="s">
        <v>84</v>
      </c>
      <c r="Z18" s="7" t="s">
        <v>84</v>
      </c>
      <c r="AA18" s="7" t="s">
        <v>84</v>
      </c>
      <c r="AB18" s="7" t="s">
        <v>84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88</v>
      </c>
      <c r="E19" s="7" t="s">
        <v>88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88</v>
      </c>
      <c r="L19" s="7" t="s">
        <v>84</v>
      </c>
      <c r="M19" s="7" t="s">
        <v>84</v>
      </c>
      <c r="N19" s="7" t="s">
        <v>88</v>
      </c>
      <c r="O19" s="7" t="s">
        <v>88</v>
      </c>
      <c r="P19" s="7" t="s">
        <v>88</v>
      </c>
      <c r="Q19" s="7" t="s">
        <v>84</v>
      </c>
      <c r="R19" s="7" t="s">
        <v>16</v>
      </c>
      <c r="S19" s="7" t="s">
        <v>88</v>
      </c>
      <c r="T19" s="7" t="s">
        <v>16</v>
      </c>
      <c r="U19" s="7" t="s">
        <v>84</v>
      </c>
      <c r="V19" s="7" t="s">
        <v>84</v>
      </c>
      <c r="W19" s="7" t="s">
        <v>88</v>
      </c>
      <c r="X19" s="7" t="s">
        <v>84</v>
      </c>
      <c r="Y19" s="7" t="s">
        <v>84</v>
      </c>
      <c r="Z19" s="7" t="s">
        <v>84</v>
      </c>
      <c r="AA19" s="7" t="s">
        <v>88</v>
      </c>
      <c r="AB19" s="7" t="s">
        <v>84</v>
      </c>
      <c r="AC19" s="7" t="s">
        <v>88</v>
      </c>
      <c r="AD19" s="7" t="s">
        <v>84</v>
      </c>
      <c r="AE19" s="7" t="s">
        <v>88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88</v>
      </c>
      <c r="E20" s="7" t="s">
        <v>84</v>
      </c>
      <c r="F20" s="7" t="s">
        <v>88</v>
      </c>
      <c r="G20" s="7" t="s">
        <v>84</v>
      </c>
      <c r="H20" s="7" t="s">
        <v>84</v>
      </c>
      <c r="I20" s="7" t="s">
        <v>84</v>
      </c>
      <c r="J20" s="7" t="s">
        <v>88</v>
      </c>
      <c r="K20" s="7" t="s">
        <v>84</v>
      </c>
      <c r="L20" s="7" t="s">
        <v>88</v>
      </c>
      <c r="M20" s="7" t="s">
        <v>84</v>
      </c>
      <c r="N20" s="7" t="s">
        <v>84</v>
      </c>
      <c r="O20" s="7" t="s">
        <v>88</v>
      </c>
      <c r="P20" s="7" t="s">
        <v>84</v>
      </c>
      <c r="Q20" s="7" t="s">
        <v>84</v>
      </c>
      <c r="R20" s="7" t="s">
        <v>16</v>
      </c>
      <c r="S20" s="7" t="s">
        <v>84</v>
      </c>
      <c r="T20" s="7" t="s">
        <v>16</v>
      </c>
      <c r="U20" s="7" t="s">
        <v>84</v>
      </c>
      <c r="V20" s="7" t="s">
        <v>84</v>
      </c>
      <c r="W20" s="7" t="s">
        <v>88</v>
      </c>
      <c r="X20" s="7" t="s">
        <v>84</v>
      </c>
      <c r="Y20" s="7" t="s">
        <v>84</v>
      </c>
      <c r="Z20" s="7" t="s">
        <v>88</v>
      </c>
      <c r="AA20" s="7" t="s">
        <v>84</v>
      </c>
      <c r="AB20" s="7" t="s">
        <v>84</v>
      </c>
      <c r="AC20" s="7" t="s">
        <v>88</v>
      </c>
      <c r="AD20" s="7" t="s">
        <v>84</v>
      </c>
      <c r="AE20" s="7" t="s">
        <v>88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88</v>
      </c>
      <c r="E21" s="7" t="s">
        <v>88</v>
      </c>
      <c r="F21" s="7" t="s">
        <v>88</v>
      </c>
      <c r="G21" s="7" t="s">
        <v>84</v>
      </c>
      <c r="H21" s="7" t="s">
        <v>84</v>
      </c>
      <c r="I21" s="7" t="s">
        <v>88</v>
      </c>
      <c r="J21" s="7" t="s">
        <v>84</v>
      </c>
      <c r="K21" s="7" t="s">
        <v>84</v>
      </c>
      <c r="L21" s="7" t="s">
        <v>88</v>
      </c>
      <c r="M21" s="7" t="s">
        <v>84</v>
      </c>
      <c r="N21" s="7" t="s">
        <v>84</v>
      </c>
      <c r="O21" s="7" t="s">
        <v>88</v>
      </c>
      <c r="P21" s="7" t="s">
        <v>84</v>
      </c>
      <c r="Q21" s="7" t="s">
        <v>84</v>
      </c>
      <c r="R21" s="7" t="s">
        <v>88</v>
      </c>
      <c r="S21" s="7" t="s">
        <v>16</v>
      </c>
      <c r="T21" s="7" t="s">
        <v>84</v>
      </c>
      <c r="U21" s="7" t="s">
        <v>84</v>
      </c>
      <c r="V21" s="7" t="s">
        <v>84</v>
      </c>
      <c r="W21" s="7" t="s">
        <v>88</v>
      </c>
      <c r="X21" s="7" t="s">
        <v>84</v>
      </c>
      <c r="Y21" s="7" t="s">
        <v>84</v>
      </c>
      <c r="Z21" s="7" t="s">
        <v>88</v>
      </c>
      <c r="AA21" s="7" t="s">
        <v>84</v>
      </c>
      <c r="AB21" s="7" t="s">
        <v>84</v>
      </c>
      <c r="AC21" s="7" t="s">
        <v>88</v>
      </c>
      <c r="AD21" s="7" t="s">
        <v>88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88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88</v>
      </c>
      <c r="J22" s="7" t="s">
        <v>88</v>
      </c>
      <c r="K22" s="7" t="s">
        <v>88</v>
      </c>
      <c r="L22" s="7" t="s">
        <v>88</v>
      </c>
      <c r="M22" s="7" t="s">
        <v>84</v>
      </c>
      <c r="N22" s="7" t="s">
        <v>84</v>
      </c>
      <c r="O22" s="7" t="s">
        <v>88</v>
      </c>
      <c r="P22" s="7" t="s">
        <v>84</v>
      </c>
      <c r="Q22" s="7" t="s">
        <v>84</v>
      </c>
      <c r="R22" s="7" t="s">
        <v>88</v>
      </c>
      <c r="S22" s="7" t="s">
        <v>84</v>
      </c>
      <c r="T22" s="7" t="s">
        <v>88</v>
      </c>
      <c r="U22" s="7" t="s">
        <v>84</v>
      </c>
      <c r="V22" s="7" t="s">
        <v>84</v>
      </c>
      <c r="W22" s="7" t="s">
        <v>88</v>
      </c>
      <c r="X22" s="7" t="s">
        <v>84</v>
      </c>
      <c r="Y22" s="7" t="s">
        <v>84</v>
      </c>
      <c r="Z22" s="7" t="s">
        <v>88</v>
      </c>
      <c r="AA22" s="7" t="s">
        <v>84</v>
      </c>
      <c r="AB22" s="7" t="s">
        <v>84</v>
      </c>
      <c r="AC22" s="7" t="s">
        <v>88</v>
      </c>
      <c r="AD22" s="7" t="s">
        <v>84</v>
      </c>
      <c r="AE22" s="7" t="s">
        <v>88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88</v>
      </c>
      <c r="E23" s="7" t="s">
        <v>90</v>
      </c>
      <c r="F23" s="7" t="s">
        <v>84</v>
      </c>
      <c r="G23" s="7" t="s">
        <v>84</v>
      </c>
      <c r="H23" s="7" t="s">
        <v>84</v>
      </c>
      <c r="I23" s="7" t="s">
        <v>88</v>
      </c>
      <c r="J23" s="7" t="s">
        <v>84</v>
      </c>
      <c r="K23" s="7" t="s">
        <v>84</v>
      </c>
      <c r="L23" s="7" t="s">
        <v>88</v>
      </c>
      <c r="M23" s="7" t="s">
        <v>84</v>
      </c>
      <c r="N23" s="7" t="s">
        <v>84</v>
      </c>
      <c r="O23" s="7" t="s">
        <v>88</v>
      </c>
      <c r="P23" s="7" t="s">
        <v>84</v>
      </c>
      <c r="Q23" s="7" t="s">
        <v>84</v>
      </c>
      <c r="R23" s="7" t="s">
        <v>88</v>
      </c>
      <c r="S23" s="7" t="s">
        <v>84</v>
      </c>
      <c r="T23" s="7" t="s">
        <v>88</v>
      </c>
      <c r="U23" s="7" t="s">
        <v>84</v>
      </c>
      <c r="V23" s="7" t="s">
        <v>84</v>
      </c>
      <c r="W23" s="7" t="s">
        <v>88</v>
      </c>
      <c r="X23" s="7" t="s">
        <v>84</v>
      </c>
      <c r="Y23" s="7" t="s">
        <v>84</v>
      </c>
      <c r="Z23" s="7" t="s">
        <v>84</v>
      </c>
      <c r="AA23" s="7" t="s">
        <v>88</v>
      </c>
      <c r="AB23" s="7" t="s">
        <v>84</v>
      </c>
      <c r="AC23" s="7" t="s">
        <v>88</v>
      </c>
      <c r="AD23" s="7" t="s">
        <v>84</v>
      </c>
      <c r="AE23" s="7" t="s">
        <v>88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88</v>
      </c>
      <c r="E24" s="7" t="s">
        <v>88</v>
      </c>
      <c r="F24" s="7" t="s">
        <v>88</v>
      </c>
      <c r="G24" s="7" t="s">
        <v>88</v>
      </c>
      <c r="H24" s="7" t="s">
        <v>88</v>
      </c>
      <c r="I24" s="7" t="s">
        <v>88</v>
      </c>
      <c r="J24" s="7" t="s">
        <v>88</v>
      </c>
      <c r="K24" s="7" t="s">
        <v>88</v>
      </c>
      <c r="L24" s="7" t="s">
        <v>88</v>
      </c>
      <c r="M24" s="7" t="s">
        <v>88</v>
      </c>
      <c r="N24" s="7" t="s">
        <v>88</v>
      </c>
      <c r="O24" s="7" t="s">
        <v>88</v>
      </c>
      <c r="P24" s="7" t="s">
        <v>88</v>
      </c>
      <c r="Q24" s="7" t="s">
        <v>88</v>
      </c>
      <c r="R24" s="7" t="s">
        <v>16</v>
      </c>
      <c r="S24" s="7" t="s">
        <v>16</v>
      </c>
      <c r="T24" s="7" t="s">
        <v>16</v>
      </c>
      <c r="U24" s="7" t="s">
        <v>88</v>
      </c>
      <c r="V24" s="7" t="s">
        <v>88</v>
      </c>
      <c r="W24" s="7" t="s">
        <v>88</v>
      </c>
      <c r="X24" s="7" t="s">
        <v>88</v>
      </c>
      <c r="Y24" s="7" t="s">
        <v>88</v>
      </c>
      <c r="Z24" s="7" t="s">
        <v>88</v>
      </c>
      <c r="AA24" s="7" t="s">
        <v>88</v>
      </c>
      <c r="AB24" s="7" t="s">
        <v>88</v>
      </c>
      <c r="AC24" s="7" t="s">
        <v>88</v>
      </c>
      <c r="AD24" s="7" t="s">
        <v>88</v>
      </c>
      <c r="AE24" s="7" t="s">
        <v>88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84</v>
      </c>
      <c r="J25" s="7" t="s">
        <v>84</v>
      </c>
      <c r="K25" s="7" t="s">
        <v>84</v>
      </c>
      <c r="L25" s="7" t="s">
        <v>84</v>
      </c>
      <c r="M25" s="7" t="s">
        <v>84</v>
      </c>
      <c r="N25" s="7" t="s">
        <v>84</v>
      </c>
      <c r="O25" s="7" t="s">
        <v>84</v>
      </c>
      <c r="P25" s="7" t="s">
        <v>84</v>
      </c>
      <c r="Q25" s="7" t="s">
        <v>84</v>
      </c>
      <c r="R25" s="7" t="s">
        <v>86</v>
      </c>
      <c r="S25" s="7" t="s">
        <v>84</v>
      </c>
      <c r="T25" s="7" t="s">
        <v>88</v>
      </c>
      <c r="U25" s="7" t="s">
        <v>84</v>
      </c>
      <c r="V25" s="7" t="s">
        <v>84</v>
      </c>
      <c r="W25" s="7" t="s">
        <v>84</v>
      </c>
      <c r="X25" s="7" t="s">
        <v>84</v>
      </c>
      <c r="Y25" s="7" t="s">
        <v>84</v>
      </c>
      <c r="Z25" s="7" t="s">
        <v>84</v>
      </c>
      <c r="AA25" s="7" t="s">
        <v>84</v>
      </c>
      <c r="AB25" s="7" t="s">
        <v>84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84</v>
      </c>
      <c r="L26" s="7" t="s">
        <v>16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86</v>
      </c>
      <c r="S26" s="7" t="s">
        <v>84</v>
      </c>
      <c r="T26" s="7" t="s">
        <v>88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16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16</v>
      </c>
      <c r="G27" s="7" t="s">
        <v>16</v>
      </c>
      <c r="H27" s="7" t="s">
        <v>16</v>
      </c>
      <c r="I27" s="7" t="s">
        <v>16</v>
      </c>
      <c r="J27" s="7" t="s">
        <v>16</v>
      </c>
      <c r="K27" s="7" t="s">
        <v>16</v>
      </c>
      <c r="L27" s="7" t="s">
        <v>16</v>
      </c>
      <c r="M27" s="7" t="s">
        <v>16</v>
      </c>
      <c r="N27" s="7" t="s">
        <v>16</v>
      </c>
      <c r="O27" s="7" t="s">
        <v>84</v>
      </c>
      <c r="P27" s="7" t="s">
        <v>84</v>
      </c>
      <c r="Q27" s="7" t="s">
        <v>84</v>
      </c>
      <c r="R27" s="7" t="s">
        <v>16</v>
      </c>
      <c r="S27" s="7" t="s">
        <v>16</v>
      </c>
      <c r="T27" s="7" t="s">
        <v>16</v>
      </c>
      <c r="U27" s="7" t="s">
        <v>84</v>
      </c>
      <c r="V27" s="7" t="s">
        <v>84</v>
      </c>
      <c r="W27" s="7" t="s">
        <v>16</v>
      </c>
      <c r="X27" s="7" t="s">
        <v>16</v>
      </c>
      <c r="Y27" s="7" t="s">
        <v>16</v>
      </c>
      <c r="Z27" s="7" t="s">
        <v>16</v>
      </c>
      <c r="AA27" s="7" t="s">
        <v>16</v>
      </c>
      <c r="AB27" s="7" t="s">
        <v>16</v>
      </c>
      <c r="AC27" s="7" t="s">
        <v>16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84</v>
      </c>
      <c r="L28" s="7" t="s">
        <v>16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86</v>
      </c>
      <c r="S28" s="7" t="s">
        <v>84</v>
      </c>
      <c r="T28" s="7" t="s">
        <v>88</v>
      </c>
      <c r="U28" s="7" t="s">
        <v>84</v>
      </c>
      <c r="V28" s="7" t="s">
        <v>84</v>
      </c>
      <c r="W28" s="7" t="s">
        <v>84</v>
      </c>
      <c r="X28" s="7" t="s">
        <v>84</v>
      </c>
      <c r="Y28" s="7" t="s">
        <v>16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86</v>
      </c>
      <c r="S29" s="7" t="s">
        <v>84</v>
      </c>
      <c r="T29" s="7" t="s">
        <v>88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84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16</v>
      </c>
      <c r="S30" s="7" t="s">
        <v>16</v>
      </c>
      <c r="T30" s="7" t="s">
        <v>16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84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 AE5:AF16 C14:D20 AD17:AF18 C4:D8 AD4:AF4 C9:E13 C21:E23 AF19:AF23 C24:AF24 C31:AF31 C26:J30 C25:K25 AF25:AF30">
    <cfRule type="cellIs" dxfId="271" priority="1249" operator="equal">
      <formula>"s"</formula>
    </cfRule>
    <cfRule type="colorScale" priority="1250">
      <colorScale>
        <cfvo type="min"/>
        <cfvo type="max"/>
        <color rgb="FFFF7128"/>
        <color rgb="FFFFEF9C"/>
      </colorScale>
    </cfRule>
    <cfRule type="cellIs" dxfId="270" priority="1251" operator="equal">
      <formula>"h"</formula>
    </cfRule>
    <cfRule type="cellIs" dxfId="269" priority="1252" operator="equal">
      <formula>"d"</formula>
    </cfRule>
    <cfRule type="cellIs" dxfId="268" priority="1253" operator="equal">
      <formula>"o"</formula>
    </cfRule>
    <cfRule type="cellIs" dxfId="267" priority="1254" operator="equal">
      <formula>"x"</formula>
    </cfRule>
  </conditionalFormatting>
  <conditionalFormatting sqref="AD5:AD16">
    <cfRule type="cellIs" dxfId="266" priority="1213" operator="equal">
      <formula>"s"</formula>
    </cfRule>
    <cfRule type="colorScale" priority="1214">
      <colorScale>
        <cfvo type="min"/>
        <cfvo type="max"/>
        <color rgb="FFFF7128"/>
        <color rgb="FFFFEF9C"/>
      </colorScale>
    </cfRule>
    <cfRule type="cellIs" dxfId="265" priority="1215" operator="equal">
      <formula>"h"</formula>
    </cfRule>
    <cfRule type="cellIs" dxfId="264" priority="1216" operator="equal">
      <formula>"d"</formula>
    </cfRule>
    <cfRule type="cellIs" dxfId="263" priority="1217" operator="equal">
      <formula>"o"</formula>
    </cfRule>
    <cfRule type="cellIs" dxfId="262" priority="1218" operator="equal">
      <formula>"x"</formula>
    </cfRule>
  </conditionalFormatting>
  <conditionalFormatting sqref="E14:E20">
    <cfRule type="cellIs" dxfId="261" priority="1207" operator="equal">
      <formula>"s"</formula>
    </cfRule>
    <cfRule type="colorScale" priority="1208">
      <colorScale>
        <cfvo type="min"/>
        <cfvo type="max"/>
        <color rgb="FFFF7128"/>
        <color rgb="FFFFEF9C"/>
      </colorScale>
    </cfRule>
    <cfRule type="cellIs" dxfId="260" priority="1209" operator="equal">
      <formula>"h"</formula>
    </cfRule>
    <cfRule type="cellIs" dxfId="259" priority="1210" operator="equal">
      <formula>"d"</formula>
    </cfRule>
    <cfRule type="cellIs" dxfId="258" priority="1211" operator="equal">
      <formula>"o"</formula>
    </cfRule>
    <cfRule type="cellIs" dxfId="257" priority="1212" operator="equal">
      <formula>"x"</formula>
    </cfRule>
  </conditionalFormatting>
  <conditionalFormatting sqref="E4:E8">
    <cfRule type="cellIs" dxfId="256" priority="1117" operator="equal">
      <formula>"s"</formula>
    </cfRule>
    <cfRule type="colorScale" priority="1118">
      <colorScale>
        <cfvo type="min"/>
        <cfvo type="max"/>
        <color rgb="FFFF7128"/>
        <color rgb="FFFFEF9C"/>
      </colorScale>
    </cfRule>
    <cfRule type="cellIs" dxfId="255" priority="1119" operator="equal">
      <formula>"h"</formula>
    </cfRule>
    <cfRule type="cellIs" dxfId="254" priority="1120" operator="equal">
      <formula>"d"</formula>
    </cfRule>
    <cfRule type="cellIs" dxfId="253" priority="1121" operator="equal">
      <formula>"o"</formula>
    </cfRule>
    <cfRule type="cellIs" dxfId="252" priority="1122" operator="equal">
      <formula>"x"</formula>
    </cfRule>
  </conditionalFormatting>
  <conditionalFormatting sqref="AB5:AC10 AB4">
    <cfRule type="cellIs" dxfId="251" priority="751" operator="equal">
      <formula>"s"</formula>
    </cfRule>
    <cfRule type="colorScale" priority="752">
      <colorScale>
        <cfvo type="min"/>
        <cfvo type="max"/>
        <color rgb="FFFF7128"/>
        <color rgb="FFFFEF9C"/>
      </colorScale>
    </cfRule>
    <cfRule type="cellIs" dxfId="250" priority="753" operator="equal">
      <formula>"h"</formula>
    </cfRule>
    <cfRule type="cellIs" dxfId="249" priority="754" operator="equal">
      <formula>"d"</formula>
    </cfRule>
    <cfRule type="cellIs" dxfId="248" priority="755" operator="equal">
      <formula>"o"</formula>
    </cfRule>
    <cfRule type="cellIs" dxfId="247" priority="756" operator="equal">
      <formula>"x"</formula>
    </cfRule>
  </conditionalFormatting>
  <conditionalFormatting sqref="K4:AA4">
    <cfRule type="cellIs" dxfId="246" priority="745" operator="equal">
      <formula>"s"</formula>
    </cfRule>
    <cfRule type="colorScale" priority="746">
      <colorScale>
        <cfvo type="min"/>
        <cfvo type="max"/>
        <color rgb="FFFF7128"/>
        <color rgb="FFFFEF9C"/>
      </colorScale>
    </cfRule>
    <cfRule type="cellIs" dxfId="245" priority="747" operator="equal">
      <formula>"h"</formula>
    </cfRule>
    <cfRule type="cellIs" dxfId="244" priority="748" operator="equal">
      <formula>"d"</formula>
    </cfRule>
    <cfRule type="cellIs" dxfId="243" priority="749" operator="equal">
      <formula>"o"</formula>
    </cfRule>
    <cfRule type="cellIs" dxfId="242" priority="750" operator="equal">
      <formula>"x"</formula>
    </cfRule>
  </conditionalFormatting>
  <conditionalFormatting sqref="F4:I4">
    <cfRule type="cellIs" dxfId="241" priority="739" operator="equal">
      <formula>"s"</formula>
    </cfRule>
    <cfRule type="colorScale" priority="740">
      <colorScale>
        <cfvo type="min"/>
        <cfvo type="max"/>
        <color rgb="FFFF7128"/>
        <color rgb="FFFFEF9C"/>
      </colorScale>
    </cfRule>
    <cfRule type="cellIs" dxfId="240" priority="741" operator="equal">
      <formula>"h"</formula>
    </cfRule>
    <cfRule type="cellIs" dxfId="239" priority="742" operator="equal">
      <formula>"d"</formula>
    </cfRule>
    <cfRule type="cellIs" dxfId="238" priority="743" operator="equal">
      <formula>"o"</formula>
    </cfRule>
    <cfRule type="cellIs" dxfId="237" priority="744" operator="equal">
      <formula>"x"</formula>
    </cfRule>
  </conditionalFormatting>
  <conditionalFormatting sqref="J4">
    <cfRule type="cellIs" dxfId="236" priority="733" operator="equal">
      <formula>"s"</formula>
    </cfRule>
    <cfRule type="colorScale" priority="734">
      <colorScale>
        <cfvo type="min"/>
        <cfvo type="max"/>
        <color rgb="FFFF7128"/>
        <color rgb="FFFFEF9C"/>
      </colorScale>
    </cfRule>
    <cfRule type="cellIs" dxfId="235" priority="735" operator="equal">
      <formula>"h"</formula>
    </cfRule>
    <cfRule type="cellIs" dxfId="234" priority="736" operator="equal">
      <formula>"d"</formula>
    </cfRule>
    <cfRule type="cellIs" dxfId="233" priority="737" operator="equal">
      <formula>"o"</formula>
    </cfRule>
    <cfRule type="cellIs" dxfId="232" priority="738" operator="equal">
      <formula>"x"</formula>
    </cfRule>
  </conditionalFormatting>
  <conditionalFormatting sqref="F4:AC4 AB5:AC7">
    <cfRule type="cellIs" dxfId="231" priority="727" operator="equal">
      <formula>"s"</formula>
    </cfRule>
    <cfRule type="colorScale" priority="728">
      <colorScale>
        <cfvo type="min"/>
        <cfvo type="max"/>
        <color rgb="FFFF7128"/>
        <color rgb="FFFFEF9C"/>
      </colorScale>
    </cfRule>
    <cfRule type="cellIs" dxfId="230" priority="729" operator="equal">
      <formula>"h"</formula>
    </cfRule>
    <cfRule type="cellIs" dxfId="229" priority="730" operator="equal">
      <formula>"d"</formula>
    </cfRule>
    <cfRule type="cellIs" dxfId="228" priority="731" operator="equal">
      <formula>"o"</formula>
    </cfRule>
    <cfRule type="cellIs" dxfId="227" priority="732" operator="equal">
      <formula>"x"</formula>
    </cfRule>
  </conditionalFormatting>
  <conditionalFormatting sqref="F12:AC12 AB11 AC13:AC18">
    <cfRule type="cellIs" dxfId="226" priority="721" operator="equal">
      <formula>"s"</formula>
    </cfRule>
    <cfRule type="colorScale" priority="722">
      <colorScale>
        <cfvo type="min"/>
        <cfvo type="max"/>
        <color rgb="FFFF7128"/>
        <color rgb="FFFFEF9C"/>
      </colorScale>
    </cfRule>
    <cfRule type="cellIs" dxfId="225" priority="723" operator="equal">
      <formula>"h"</formula>
    </cfRule>
    <cfRule type="cellIs" dxfId="224" priority="724" operator="equal">
      <formula>"d"</formula>
    </cfRule>
    <cfRule type="cellIs" dxfId="223" priority="725" operator="equal">
      <formula>"o"</formula>
    </cfRule>
    <cfRule type="cellIs" dxfId="222" priority="726" operator="equal">
      <formula>"x"</formula>
    </cfRule>
  </conditionalFormatting>
  <conditionalFormatting sqref="K11:AA11">
    <cfRule type="cellIs" dxfId="221" priority="715" operator="equal">
      <formula>"s"</formula>
    </cfRule>
    <cfRule type="colorScale" priority="716">
      <colorScale>
        <cfvo type="min"/>
        <cfvo type="max"/>
        <color rgb="FFFF7128"/>
        <color rgb="FFFFEF9C"/>
      </colorScale>
    </cfRule>
    <cfRule type="cellIs" dxfId="220" priority="717" operator="equal">
      <formula>"h"</formula>
    </cfRule>
    <cfRule type="cellIs" dxfId="219" priority="718" operator="equal">
      <formula>"d"</formula>
    </cfRule>
    <cfRule type="cellIs" dxfId="218" priority="719" operator="equal">
      <formula>"o"</formula>
    </cfRule>
    <cfRule type="cellIs" dxfId="217" priority="720" operator="equal">
      <formula>"x"</formula>
    </cfRule>
  </conditionalFormatting>
  <conditionalFormatting sqref="F11:I11">
    <cfRule type="cellIs" dxfId="216" priority="709" operator="equal">
      <formula>"s"</formula>
    </cfRule>
    <cfRule type="colorScale" priority="710">
      <colorScale>
        <cfvo type="min"/>
        <cfvo type="max"/>
        <color rgb="FFFF7128"/>
        <color rgb="FFFFEF9C"/>
      </colorScale>
    </cfRule>
    <cfRule type="cellIs" dxfId="215" priority="711" operator="equal">
      <formula>"h"</formula>
    </cfRule>
    <cfRule type="cellIs" dxfId="214" priority="712" operator="equal">
      <formula>"d"</formula>
    </cfRule>
    <cfRule type="cellIs" dxfId="213" priority="713" operator="equal">
      <formula>"o"</formula>
    </cfRule>
    <cfRule type="cellIs" dxfId="212" priority="714" operator="equal">
      <formula>"x"</formula>
    </cfRule>
  </conditionalFormatting>
  <conditionalFormatting sqref="J11">
    <cfRule type="cellIs" dxfId="211" priority="703" operator="equal">
      <formula>"s"</formula>
    </cfRule>
    <cfRule type="colorScale" priority="704">
      <colorScale>
        <cfvo type="min"/>
        <cfvo type="max"/>
        <color rgb="FFFF7128"/>
        <color rgb="FFFFEF9C"/>
      </colorScale>
    </cfRule>
    <cfRule type="cellIs" dxfId="210" priority="705" operator="equal">
      <formula>"h"</formula>
    </cfRule>
    <cfRule type="cellIs" dxfId="209" priority="706" operator="equal">
      <formula>"d"</formula>
    </cfRule>
    <cfRule type="cellIs" dxfId="208" priority="707" operator="equal">
      <formula>"o"</formula>
    </cfRule>
    <cfRule type="cellIs" dxfId="207" priority="708" operator="equal">
      <formula>"x"</formula>
    </cfRule>
  </conditionalFormatting>
  <conditionalFormatting sqref="F11:AC12 AC13:AC14">
    <cfRule type="cellIs" dxfId="206" priority="697" operator="equal">
      <formula>"s"</formula>
    </cfRule>
    <cfRule type="colorScale" priority="698">
      <colorScale>
        <cfvo type="min"/>
        <cfvo type="max"/>
        <color rgb="FFFF7128"/>
        <color rgb="FFFFEF9C"/>
      </colorScale>
    </cfRule>
    <cfRule type="cellIs" dxfId="205" priority="699" operator="equal">
      <formula>"h"</formula>
    </cfRule>
    <cfRule type="cellIs" dxfId="204" priority="700" operator="equal">
      <formula>"d"</formula>
    </cfRule>
    <cfRule type="cellIs" dxfId="203" priority="701" operator="equal">
      <formula>"o"</formula>
    </cfRule>
    <cfRule type="cellIs" dxfId="202" priority="702" operator="equal">
      <formula>"x"</formula>
    </cfRule>
  </conditionalFormatting>
  <conditionalFormatting sqref="J5:K5 AA10 P5:Q5 V5:W5">
    <cfRule type="cellIs" dxfId="201" priority="691" operator="equal">
      <formula>"s"</formula>
    </cfRule>
    <cfRule type="colorScale" priority="692">
      <colorScale>
        <cfvo type="min"/>
        <cfvo type="max"/>
        <color rgb="FFFF7128"/>
        <color rgb="FFFFEF9C"/>
      </colorScale>
    </cfRule>
    <cfRule type="cellIs" dxfId="200" priority="693" operator="equal">
      <formula>"h"</formula>
    </cfRule>
    <cfRule type="cellIs" dxfId="199" priority="694" operator="equal">
      <formula>"d"</formula>
    </cfRule>
    <cfRule type="cellIs" dxfId="198" priority="695" operator="equal">
      <formula>"o"</formula>
    </cfRule>
    <cfRule type="cellIs" dxfId="197" priority="696" operator="equal">
      <formula>"x"</formula>
    </cfRule>
  </conditionalFormatting>
  <conditionalFormatting sqref="J6:K9 P6:Q9 J10:Q10 V10:Z10 V6:W9">
    <cfRule type="cellIs" dxfId="196" priority="685" operator="equal">
      <formula>"s"</formula>
    </cfRule>
    <cfRule type="colorScale" priority="686">
      <colorScale>
        <cfvo type="min"/>
        <cfvo type="max"/>
        <color rgb="FFFF7128"/>
        <color rgb="FFFFEF9C"/>
      </colorScale>
    </cfRule>
    <cfRule type="cellIs" dxfId="195" priority="687" operator="equal">
      <formula>"h"</formula>
    </cfRule>
    <cfRule type="cellIs" dxfId="194" priority="688" operator="equal">
      <formula>"d"</formula>
    </cfRule>
    <cfRule type="cellIs" dxfId="193" priority="689" operator="equal">
      <formula>"o"</formula>
    </cfRule>
    <cfRule type="cellIs" dxfId="192" priority="690" operator="equal">
      <formula>"x"</formula>
    </cfRule>
  </conditionalFormatting>
  <conditionalFormatting sqref="J10:Q10 J5:K9 P5:Q9 V10:AA10 V5:W9">
    <cfRule type="cellIs" dxfId="191" priority="679" operator="equal">
      <formula>"s"</formula>
    </cfRule>
    <cfRule type="colorScale" priority="680">
      <colorScale>
        <cfvo type="min"/>
        <cfvo type="max"/>
        <color rgb="FFFF7128"/>
        <color rgb="FFFFEF9C"/>
      </colorScale>
    </cfRule>
    <cfRule type="cellIs" dxfId="190" priority="681" operator="equal">
      <formula>"h"</formula>
    </cfRule>
    <cfRule type="cellIs" dxfId="189" priority="682" operator="equal">
      <formula>"d"</formula>
    </cfRule>
    <cfRule type="cellIs" dxfId="188" priority="683" operator="equal">
      <formula>"o"</formula>
    </cfRule>
    <cfRule type="cellIs" dxfId="187" priority="684" operator="equal">
      <formula>"x"</formula>
    </cfRule>
  </conditionalFormatting>
  <conditionalFormatting sqref="F5:I7">
    <cfRule type="cellIs" dxfId="186" priority="673" operator="equal">
      <formula>"s"</formula>
    </cfRule>
    <cfRule type="colorScale" priority="674">
      <colorScale>
        <cfvo type="min"/>
        <cfvo type="max"/>
        <color rgb="FFFF7128"/>
        <color rgb="FFFFEF9C"/>
      </colorScale>
    </cfRule>
    <cfRule type="cellIs" dxfId="185" priority="675" operator="equal">
      <formula>"h"</formula>
    </cfRule>
    <cfRule type="cellIs" dxfId="184" priority="676" operator="equal">
      <formula>"d"</formula>
    </cfRule>
    <cfRule type="cellIs" dxfId="183" priority="677" operator="equal">
      <formula>"o"</formula>
    </cfRule>
    <cfRule type="cellIs" dxfId="182" priority="678" operator="equal">
      <formula>"x"</formula>
    </cfRule>
  </conditionalFormatting>
  <conditionalFormatting sqref="F8:I10">
    <cfRule type="cellIs" dxfId="181" priority="667" operator="equal">
      <formula>"s"</formula>
    </cfRule>
    <cfRule type="colorScale" priority="668">
      <colorScale>
        <cfvo type="min"/>
        <cfvo type="max"/>
        <color rgb="FFFF7128"/>
        <color rgb="FFFFEF9C"/>
      </colorScale>
    </cfRule>
    <cfRule type="cellIs" dxfId="180" priority="669" operator="equal">
      <formula>"h"</formula>
    </cfRule>
    <cfRule type="cellIs" dxfId="179" priority="670" operator="equal">
      <formula>"d"</formula>
    </cfRule>
    <cfRule type="cellIs" dxfId="178" priority="671" operator="equal">
      <formula>"o"</formula>
    </cfRule>
    <cfRule type="cellIs" dxfId="177" priority="672" operator="equal">
      <formula>"x"</formula>
    </cfRule>
  </conditionalFormatting>
  <conditionalFormatting sqref="L5:O9">
    <cfRule type="cellIs" dxfId="176" priority="661" operator="equal">
      <formula>"s"</formula>
    </cfRule>
    <cfRule type="colorScale" priority="662">
      <colorScale>
        <cfvo type="min"/>
        <cfvo type="max"/>
        <color rgb="FFFF7128"/>
        <color rgb="FFFFEF9C"/>
      </colorScale>
    </cfRule>
    <cfRule type="cellIs" dxfId="175" priority="663" operator="equal">
      <formula>"h"</formula>
    </cfRule>
    <cfRule type="cellIs" dxfId="174" priority="664" operator="equal">
      <formula>"d"</formula>
    </cfRule>
    <cfRule type="cellIs" dxfId="173" priority="665" operator="equal">
      <formula>"o"</formula>
    </cfRule>
    <cfRule type="cellIs" dxfId="172" priority="666" operator="equal">
      <formula>"x"</formula>
    </cfRule>
  </conditionalFormatting>
  <conditionalFormatting sqref="R5:U7">
    <cfRule type="cellIs" dxfId="171" priority="655" operator="equal">
      <formula>"s"</formula>
    </cfRule>
    <cfRule type="colorScale" priority="656">
      <colorScale>
        <cfvo type="min"/>
        <cfvo type="max"/>
        <color rgb="FFFF7128"/>
        <color rgb="FFFFEF9C"/>
      </colorScale>
    </cfRule>
    <cfRule type="cellIs" dxfId="170" priority="657" operator="equal">
      <formula>"h"</formula>
    </cfRule>
    <cfRule type="cellIs" dxfId="169" priority="658" operator="equal">
      <formula>"d"</formula>
    </cfRule>
    <cfRule type="cellIs" dxfId="168" priority="659" operator="equal">
      <formula>"o"</formula>
    </cfRule>
    <cfRule type="cellIs" dxfId="167" priority="660" operator="equal">
      <formula>"x"</formula>
    </cfRule>
  </conditionalFormatting>
  <conditionalFormatting sqref="R8:U10">
    <cfRule type="cellIs" dxfId="166" priority="649" operator="equal">
      <formula>"s"</formula>
    </cfRule>
    <cfRule type="colorScale" priority="650">
      <colorScale>
        <cfvo type="min"/>
        <cfvo type="max"/>
        <color rgb="FFFF7128"/>
        <color rgb="FFFFEF9C"/>
      </colorScale>
    </cfRule>
    <cfRule type="cellIs" dxfId="165" priority="651" operator="equal">
      <formula>"h"</formula>
    </cfRule>
    <cfRule type="cellIs" dxfId="164" priority="652" operator="equal">
      <formula>"d"</formula>
    </cfRule>
    <cfRule type="cellIs" dxfId="163" priority="653" operator="equal">
      <formula>"o"</formula>
    </cfRule>
    <cfRule type="cellIs" dxfId="162" priority="654" operator="equal">
      <formula>"x"</formula>
    </cfRule>
  </conditionalFormatting>
  <conditionalFormatting sqref="X5:AA9">
    <cfRule type="cellIs" dxfId="161" priority="643" operator="equal">
      <formula>"s"</formula>
    </cfRule>
    <cfRule type="colorScale" priority="644">
      <colorScale>
        <cfvo type="min"/>
        <cfvo type="max"/>
        <color rgb="FFFF7128"/>
        <color rgb="FFFFEF9C"/>
      </colorScale>
    </cfRule>
    <cfRule type="cellIs" dxfId="160" priority="645" operator="equal">
      <formula>"h"</formula>
    </cfRule>
    <cfRule type="cellIs" dxfId="159" priority="646" operator="equal">
      <formula>"d"</formula>
    </cfRule>
    <cfRule type="cellIs" dxfId="158" priority="647" operator="equal">
      <formula>"o"</formula>
    </cfRule>
    <cfRule type="cellIs" dxfId="157" priority="648" operator="equal">
      <formula>"x"</formula>
    </cfRule>
  </conditionalFormatting>
  <conditionalFormatting sqref="P12:P15 K12:K15 W12:AB15">
    <cfRule type="cellIs" dxfId="156" priority="637" operator="equal">
      <formula>"s"</formula>
    </cfRule>
    <cfRule type="colorScale" priority="638">
      <colorScale>
        <cfvo type="min"/>
        <cfvo type="max"/>
        <color rgb="FFFF7128"/>
        <color rgb="FFFFEF9C"/>
      </colorScale>
    </cfRule>
    <cfRule type="cellIs" dxfId="155" priority="639" operator="equal">
      <formula>"h"</formula>
    </cfRule>
    <cfRule type="cellIs" dxfId="154" priority="640" operator="equal">
      <formula>"d"</formula>
    </cfRule>
    <cfRule type="cellIs" dxfId="153" priority="641" operator="equal">
      <formula>"o"</formula>
    </cfRule>
    <cfRule type="cellIs" dxfId="152" priority="642" operator="equal">
      <formula>"x"</formula>
    </cfRule>
  </conditionalFormatting>
  <conditionalFormatting sqref="J12:J14">
    <cfRule type="cellIs" dxfId="151" priority="631" operator="equal">
      <formula>"s"</formula>
    </cfRule>
    <cfRule type="colorScale" priority="632">
      <colorScale>
        <cfvo type="min"/>
        <cfvo type="max"/>
        <color rgb="FFFF7128"/>
        <color rgb="FFFFEF9C"/>
      </colorScale>
    </cfRule>
    <cfRule type="cellIs" dxfId="150" priority="633" operator="equal">
      <formula>"h"</formula>
    </cfRule>
    <cfRule type="cellIs" dxfId="149" priority="634" operator="equal">
      <formula>"d"</formula>
    </cfRule>
    <cfRule type="cellIs" dxfId="148" priority="635" operator="equal">
      <formula>"o"</formula>
    </cfRule>
    <cfRule type="cellIs" dxfId="147" priority="636" operator="equal">
      <formula>"x"</formula>
    </cfRule>
  </conditionalFormatting>
  <conditionalFormatting sqref="Q12:Q15">
    <cfRule type="cellIs" dxfId="146" priority="619" operator="equal">
      <formula>"s"</formula>
    </cfRule>
    <cfRule type="colorScale" priority="620">
      <colorScale>
        <cfvo type="min"/>
        <cfvo type="max"/>
        <color rgb="FFFF7128"/>
        <color rgb="FFFFEF9C"/>
      </colorScale>
    </cfRule>
    <cfRule type="cellIs" dxfId="145" priority="621" operator="equal">
      <formula>"h"</formula>
    </cfRule>
    <cfRule type="cellIs" dxfId="144" priority="622" operator="equal">
      <formula>"d"</formula>
    </cfRule>
    <cfRule type="cellIs" dxfId="143" priority="623" operator="equal">
      <formula>"o"</formula>
    </cfRule>
    <cfRule type="cellIs" dxfId="142" priority="624" operator="equal">
      <formula>"x"</formula>
    </cfRule>
  </conditionalFormatting>
  <conditionalFormatting sqref="R12:V15">
    <cfRule type="cellIs" dxfId="141" priority="613" operator="equal">
      <formula>"s"</formula>
    </cfRule>
    <cfRule type="colorScale" priority="614">
      <colorScale>
        <cfvo type="min"/>
        <cfvo type="max"/>
        <color rgb="FFFF7128"/>
        <color rgb="FFFFEF9C"/>
      </colorScale>
    </cfRule>
    <cfRule type="cellIs" dxfId="140" priority="615" operator="equal">
      <formula>"h"</formula>
    </cfRule>
    <cfRule type="cellIs" dxfId="139" priority="616" operator="equal">
      <formula>"d"</formula>
    </cfRule>
    <cfRule type="cellIs" dxfId="138" priority="617" operator="equal">
      <formula>"o"</formula>
    </cfRule>
    <cfRule type="cellIs" dxfId="137" priority="618" operator="equal">
      <formula>"x"</formula>
    </cfRule>
  </conditionalFormatting>
  <conditionalFormatting sqref="F12:I15">
    <cfRule type="cellIs" dxfId="136" priority="607" operator="equal">
      <formula>"s"</formula>
    </cfRule>
    <cfRule type="colorScale" priority="608">
      <colorScale>
        <cfvo type="min"/>
        <cfvo type="max"/>
        <color rgb="FFFF7128"/>
        <color rgb="FFFFEF9C"/>
      </colorScale>
    </cfRule>
    <cfRule type="cellIs" dxfId="135" priority="609" operator="equal">
      <formula>"h"</formula>
    </cfRule>
    <cfRule type="cellIs" dxfId="134" priority="610" operator="equal">
      <formula>"d"</formula>
    </cfRule>
    <cfRule type="cellIs" dxfId="133" priority="611" operator="equal">
      <formula>"o"</formula>
    </cfRule>
    <cfRule type="cellIs" dxfId="132" priority="612" operator="equal">
      <formula>"x"</formula>
    </cfRule>
  </conditionalFormatting>
  <conditionalFormatting sqref="J15">
    <cfRule type="cellIs" dxfId="131" priority="601" operator="equal">
      <formula>"s"</formula>
    </cfRule>
    <cfRule type="colorScale" priority="602">
      <colorScale>
        <cfvo type="min"/>
        <cfvo type="max"/>
        <color rgb="FFFF7128"/>
        <color rgb="FFFFEF9C"/>
      </colorScale>
    </cfRule>
    <cfRule type="cellIs" dxfId="130" priority="603" operator="equal">
      <formula>"h"</formula>
    </cfRule>
    <cfRule type="cellIs" dxfId="129" priority="604" operator="equal">
      <formula>"d"</formula>
    </cfRule>
    <cfRule type="cellIs" dxfId="128" priority="605" operator="equal">
      <formula>"o"</formula>
    </cfRule>
    <cfRule type="cellIs" dxfId="127" priority="606" operator="equal">
      <formula>"x"</formula>
    </cfRule>
  </conditionalFormatting>
  <conditionalFormatting sqref="P15:P17 K15:K17 W15:AB17">
    <cfRule type="cellIs" dxfId="126" priority="595" operator="equal">
      <formula>"s"</formula>
    </cfRule>
    <cfRule type="colorScale" priority="596">
      <colorScale>
        <cfvo type="min"/>
        <cfvo type="max"/>
        <color rgb="FFFF7128"/>
        <color rgb="FFFFEF9C"/>
      </colorScale>
    </cfRule>
    <cfRule type="cellIs" dxfId="125" priority="597" operator="equal">
      <formula>"h"</formula>
    </cfRule>
    <cfRule type="cellIs" dxfId="124" priority="598" operator="equal">
      <formula>"d"</formula>
    </cfRule>
    <cfRule type="cellIs" dxfId="123" priority="599" operator="equal">
      <formula>"o"</formula>
    </cfRule>
    <cfRule type="cellIs" dxfId="122" priority="600" operator="equal">
      <formula>"x"</formula>
    </cfRule>
  </conditionalFormatting>
  <conditionalFormatting sqref="Q15:Q17">
    <cfRule type="cellIs" dxfId="121" priority="583" operator="equal">
      <formula>"s"</formula>
    </cfRule>
    <cfRule type="colorScale" priority="584">
      <colorScale>
        <cfvo type="min"/>
        <cfvo type="max"/>
        <color rgb="FFFF7128"/>
        <color rgb="FFFFEF9C"/>
      </colorScale>
    </cfRule>
    <cfRule type="cellIs" dxfId="120" priority="585" operator="equal">
      <formula>"h"</formula>
    </cfRule>
    <cfRule type="cellIs" dxfId="119" priority="586" operator="equal">
      <formula>"d"</formula>
    </cfRule>
    <cfRule type="cellIs" dxfId="118" priority="587" operator="equal">
      <formula>"o"</formula>
    </cfRule>
    <cfRule type="cellIs" dxfId="117" priority="588" operator="equal">
      <formula>"x"</formula>
    </cfRule>
  </conditionalFormatting>
  <conditionalFormatting sqref="R15:V17">
    <cfRule type="cellIs" dxfId="116" priority="577" operator="equal">
      <formula>"s"</formula>
    </cfRule>
    <cfRule type="colorScale" priority="578">
      <colorScale>
        <cfvo type="min"/>
        <cfvo type="max"/>
        <color rgb="FFFF7128"/>
        <color rgb="FFFFEF9C"/>
      </colorScale>
    </cfRule>
    <cfRule type="cellIs" dxfId="115" priority="579" operator="equal">
      <formula>"h"</formula>
    </cfRule>
    <cfRule type="cellIs" dxfId="114" priority="580" operator="equal">
      <formula>"d"</formula>
    </cfRule>
    <cfRule type="cellIs" dxfId="113" priority="581" operator="equal">
      <formula>"o"</formula>
    </cfRule>
    <cfRule type="cellIs" dxfId="112" priority="582" operator="equal">
      <formula>"x"</formula>
    </cfRule>
  </conditionalFormatting>
  <conditionalFormatting sqref="F15:I17">
    <cfRule type="cellIs" dxfId="111" priority="571" operator="equal">
      <formula>"s"</formula>
    </cfRule>
    <cfRule type="colorScale" priority="572">
      <colorScale>
        <cfvo type="min"/>
        <cfvo type="max"/>
        <color rgb="FFFF7128"/>
        <color rgb="FFFFEF9C"/>
      </colorScale>
    </cfRule>
    <cfRule type="cellIs" dxfId="110" priority="573" operator="equal">
      <formula>"h"</formula>
    </cfRule>
    <cfRule type="cellIs" dxfId="109" priority="574" operator="equal">
      <formula>"d"</formula>
    </cfRule>
    <cfRule type="cellIs" dxfId="108" priority="575" operator="equal">
      <formula>"o"</formula>
    </cfRule>
    <cfRule type="cellIs" dxfId="107" priority="576" operator="equal">
      <formula>"x"</formula>
    </cfRule>
  </conditionalFormatting>
  <conditionalFormatting sqref="J15:J17">
    <cfRule type="cellIs" dxfId="106" priority="565" operator="equal">
      <formula>"s"</formula>
    </cfRule>
    <cfRule type="colorScale" priority="566">
      <colorScale>
        <cfvo type="min"/>
        <cfvo type="max"/>
        <color rgb="FFFF7128"/>
        <color rgb="FFFFEF9C"/>
      </colorScale>
    </cfRule>
    <cfRule type="cellIs" dxfId="105" priority="567" operator="equal">
      <formula>"h"</formula>
    </cfRule>
    <cfRule type="cellIs" dxfId="104" priority="568" operator="equal">
      <formula>"d"</formula>
    </cfRule>
    <cfRule type="cellIs" dxfId="103" priority="569" operator="equal">
      <formula>"o"</formula>
    </cfRule>
    <cfRule type="cellIs" dxfId="102" priority="570" operator="equal">
      <formula>"x"</formula>
    </cfRule>
  </conditionalFormatting>
  <conditionalFormatting sqref="L12:O15">
    <cfRule type="cellIs" dxfId="101" priority="559" operator="equal">
      <formula>"s"</formula>
    </cfRule>
    <cfRule type="colorScale" priority="560">
      <colorScale>
        <cfvo type="min"/>
        <cfvo type="max"/>
        <color rgb="FFFF7128"/>
        <color rgb="FFFFEF9C"/>
      </colorScale>
    </cfRule>
    <cfRule type="cellIs" dxfId="100" priority="561" operator="equal">
      <formula>"h"</formula>
    </cfRule>
    <cfRule type="cellIs" dxfId="99" priority="562" operator="equal">
      <formula>"d"</formula>
    </cfRule>
    <cfRule type="cellIs" dxfId="98" priority="563" operator="equal">
      <formula>"o"</formula>
    </cfRule>
    <cfRule type="cellIs" dxfId="97" priority="564" operator="equal">
      <formula>"x"</formula>
    </cfRule>
  </conditionalFormatting>
  <conditionalFormatting sqref="L15:O17">
    <cfRule type="cellIs" dxfId="96" priority="553" operator="equal">
      <formula>"s"</formula>
    </cfRule>
    <cfRule type="colorScale" priority="554">
      <colorScale>
        <cfvo type="min"/>
        <cfvo type="max"/>
        <color rgb="FFFF7128"/>
        <color rgb="FFFFEF9C"/>
      </colorScale>
    </cfRule>
    <cfRule type="cellIs" dxfId="95" priority="555" operator="equal">
      <formula>"h"</formula>
    </cfRule>
    <cfRule type="cellIs" dxfId="94" priority="556" operator="equal">
      <formula>"d"</formula>
    </cfRule>
    <cfRule type="cellIs" dxfId="93" priority="557" operator="equal">
      <formula>"o"</formula>
    </cfRule>
    <cfRule type="cellIs" dxfId="92" priority="558" operator="equal">
      <formula>"x"</formula>
    </cfRule>
  </conditionalFormatting>
  <conditionalFormatting sqref="J14">
    <cfRule type="cellIs" dxfId="91" priority="547" operator="equal">
      <formula>"s"</formula>
    </cfRule>
    <cfRule type="colorScale" priority="548">
      <colorScale>
        <cfvo type="min"/>
        <cfvo type="max"/>
        <color rgb="FFFF7128"/>
        <color rgb="FFFFEF9C"/>
      </colorScale>
    </cfRule>
    <cfRule type="cellIs" dxfId="90" priority="549" operator="equal">
      <formula>"h"</formula>
    </cfRule>
    <cfRule type="cellIs" dxfId="89" priority="550" operator="equal">
      <formula>"d"</formula>
    </cfRule>
    <cfRule type="cellIs" dxfId="88" priority="551" operator="equal">
      <formula>"o"</formula>
    </cfRule>
    <cfRule type="cellIs" dxfId="87" priority="552" operator="equal">
      <formula>"x"</formula>
    </cfRule>
  </conditionalFormatting>
  <conditionalFormatting sqref="L17:O17">
    <cfRule type="cellIs" dxfId="86" priority="541" operator="equal">
      <formula>"s"</formula>
    </cfRule>
    <cfRule type="colorScale" priority="542">
      <colorScale>
        <cfvo type="min"/>
        <cfvo type="max"/>
        <color rgb="FFFF7128"/>
        <color rgb="FFFFEF9C"/>
      </colorScale>
    </cfRule>
    <cfRule type="cellIs" dxfId="85" priority="543" operator="equal">
      <formula>"h"</formula>
    </cfRule>
    <cfRule type="cellIs" dxfId="84" priority="544" operator="equal">
      <formula>"d"</formula>
    </cfRule>
    <cfRule type="cellIs" dxfId="83" priority="545" operator="equal">
      <formula>"o"</formula>
    </cfRule>
    <cfRule type="cellIs" dxfId="82" priority="546" operator="equal">
      <formula>"x"</formula>
    </cfRule>
  </conditionalFormatting>
  <conditionalFormatting sqref="F18:AB18">
    <cfRule type="cellIs" dxfId="81" priority="253" operator="equal">
      <formula>"s"</formula>
    </cfRule>
    <cfRule type="colorScale" priority="254">
      <colorScale>
        <cfvo type="min"/>
        <cfvo type="max"/>
        <color rgb="FFFF7128"/>
        <color rgb="FFFFEF9C"/>
      </colorScale>
    </cfRule>
    <cfRule type="cellIs" dxfId="80" priority="255" operator="equal">
      <formula>"h"</formula>
    </cfRule>
    <cfRule type="cellIs" dxfId="79" priority="256" operator="equal">
      <formula>"d"</formula>
    </cfRule>
    <cfRule type="cellIs" dxfId="78" priority="257" operator="equal">
      <formula>"o"</formula>
    </cfRule>
    <cfRule type="cellIs" dxfId="77" priority="258" operator="equal">
      <formula>"x"</formula>
    </cfRule>
  </conditionalFormatting>
  <conditionalFormatting sqref="AD19:AE23">
    <cfRule type="cellIs" dxfId="76" priority="247" operator="equal">
      <formula>"s"</formula>
    </cfRule>
    <cfRule type="colorScale" priority="248">
      <colorScale>
        <cfvo type="min"/>
        <cfvo type="max"/>
        <color rgb="FFFF7128"/>
        <color rgb="FFFFEF9C"/>
      </colorScale>
    </cfRule>
    <cfRule type="cellIs" dxfId="75" priority="249" operator="equal">
      <formula>"h"</formula>
    </cfRule>
    <cfRule type="cellIs" dxfId="74" priority="250" operator="equal">
      <formula>"d"</formula>
    </cfRule>
    <cfRule type="cellIs" dxfId="73" priority="251" operator="equal">
      <formula>"o"</formula>
    </cfRule>
    <cfRule type="cellIs" dxfId="72" priority="252" operator="equal">
      <formula>"x"</formula>
    </cfRule>
  </conditionalFormatting>
  <conditionalFormatting sqref="AC19:AC23">
    <cfRule type="cellIs" dxfId="71" priority="241" operator="equal">
      <formula>"s"</formula>
    </cfRule>
    <cfRule type="colorScale" priority="242">
      <colorScale>
        <cfvo type="min"/>
        <cfvo type="max"/>
        <color rgb="FFFF7128"/>
        <color rgb="FFFFEF9C"/>
      </colorScale>
    </cfRule>
    <cfRule type="cellIs" dxfId="70" priority="243" operator="equal">
      <formula>"h"</formula>
    </cfRule>
    <cfRule type="cellIs" dxfId="69" priority="244" operator="equal">
      <formula>"d"</formula>
    </cfRule>
    <cfRule type="cellIs" dxfId="68" priority="245" operator="equal">
      <formula>"o"</formula>
    </cfRule>
    <cfRule type="cellIs" dxfId="67" priority="246" operator="equal">
      <formula>"x"</formula>
    </cfRule>
  </conditionalFormatting>
  <conditionalFormatting sqref="F19:G23 M19:AB23">
    <cfRule type="cellIs" dxfId="66" priority="235" operator="equal">
      <formula>"s"</formula>
    </cfRule>
    <cfRule type="colorScale" priority="236">
      <colorScale>
        <cfvo type="min"/>
        <cfvo type="max"/>
        <color rgb="FFFF7128"/>
        <color rgb="FFFFEF9C"/>
      </colorScale>
    </cfRule>
    <cfRule type="cellIs" dxfId="65" priority="237" operator="equal">
      <formula>"h"</formula>
    </cfRule>
    <cfRule type="cellIs" dxfId="64" priority="238" operator="equal">
      <formula>"d"</formula>
    </cfRule>
    <cfRule type="cellIs" dxfId="63" priority="239" operator="equal">
      <formula>"o"</formula>
    </cfRule>
    <cfRule type="cellIs" dxfId="62" priority="240" operator="equal">
      <formula>"x"</formula>
    </cfRule>
  </conditionalFormatting>
  <conditionalFormatting sqref="H19:H20">
    <cfRule type="cellIs" dxfId="61" priority="229" operator="equal">
      <formula>"s"</formula>
    </cfRule>
    <cfRule type="colorScale" priority="230">
      <colorScale>
        <cfvo type="min"/>
        <cfvo type="max"/>
        <color rgb="FFFF7128"/>
        <color rgb="FFFFEF9C"/>
      </colorScale>
    </cfRule>
    <cfRule type="cellIs" dxfId="60" priority="231" operator="equal">
      <formula>"h"</formula>
    </cfRule>
    <cfRule type="cellIs" dxfId="59" priority="232" operator="equal">
      <formula>"d"</formula>
    </cfRule>
    <cfRule type="cellIs" dxfId="58" priority="233" operator="equal">
      <formula>"o"</formula>
    </cfRule>
    <cfRule type="cellIs" dxfId="57" priority="234" operator="equal">
      <formula>"x"</formula>
    </cfRule>
  </conditionalFormatting>
  <conditionalFormatting sqref="H21:H23">
    <cfRule type="cellIs" dxfId="56" priority="223" operator="equal">
      <formula>"s"</formula>
    </cfRule>
    <cfRule type="colorScale" priority="224">
      <colorScale>
        <cfvo type="min"/>
        <cfvo type="max"/>
        <color rgb="FFFF7128"/>
        <color rgb="FFFFEF9C"/>
      </colorScale>
    </cfRule>
    <cfRule type="cellIs" dxfId="55" priority="225" operator="equal">
      <formula>"h"</formula>
    </cfRule>
    <cfRule type="cellIs" dxfId="54" priority="226" operator="equal">
      <formula>"d"</formula>
    </cfRule>
    <cfRule type="cellIs" dxfId="53" priority="227" operator="equal">
      <formula>"o"</formula>
    </cfRule>
    <cfRule type="cellIs" dxfId="52" priority="228" operator="equal">
      <formula>"x"</formula>
    </cfRule>
  </conditionalFormatting>
  <conditionalFormatting sqref="I19:L19">
    <cfRule type="cellIs" dxfId="51" priority="217" operator="equal">
      <formula>"s"</formula>
    </cfRule>
    <cfRule type="colorScale" priority="218">
      <colorScale>
        <cfvo type="min"/>
        <cfvo type="max"/>
        <color rgb="FFFF7128"/>
        <color rgb="FFFFEF9C"/>
      </colorScale>
    </cfRule>
    <cfRule type="cellIs" dxfId="50" priority="219" operator="equal">
      <formula>"h"</formula>
    </cfRule>
    <cfRule type="cellIs" dxfId="49" priority="220" operator="equal">
      <formula>"d"</formula>
    </cfRule>
    <cfRule type="cellIs" dxfId="48" priority="221" operator="equal">
      <formula>"o"</formula>
    </cfRule>
    <cfRule type="cellIs" dxfId="47" priority="222" operator="equal">
      <formula>"x"</formula>
    </cfRule>
  </conditionalFormatting>
  <conditionalFormatting sqref="I19:L19">
    <cfRule type="cellIs" dxfId="46" priority="211" operator="equal">
      <formula>"s"</formula>
    </cfRule>
    <cfRule type="colorScale" priority="212">
      <colorScale>
        <cfvo type="min"/>
        <cfvo type="max"/>
        <color rgb="FFFF7128"/>
        <color rgb="FFFFEF9C"/>
      </colorScale>
    </cfRule>
    <cfRule type="cellIs" dxfId="45" priority="213" operator="equal">
      <formula>"h"</formula>
    </cfRule>
    <cfRule type="cellIs" dxfId="44" priority="214" operator="equal">
      <formula>"d"</formula>
    </cfRule>
    <cfRule type="cellIs" dxfId="43" priority="215" operator="equal">
      <formula>"o"</formula>
    </cfRule>
    <cfRule type="cellIs" dxfId="42" priority="216" operator="equal">
      <formula>"x"</formula>
    </cfRule>
  </conditionalFormatting>
  <conditionalFormatting sqref="I19:L22">
    <cfRule type="cellIs" dxfId="41" priority="205" operator="equal">
      <formula>"s"</formula>
    </cfRule>
    <cfRule type="colorScale" priority="206">
      <colorScale>
        <cfvo type="min"/>
        <cfvo type="max"/>
        <color rgb="FFFF7128"/>
        <color rgb="FFFFEF9C"/>
      </colorScale>
    </cfRule>
    <cfRule type="cellIs" dxfId="40" priority="207" operator="equal">
      <formula>"h"</formula>
    </cfRule>
    <cfRule type="cellIs" dxfId="39" priority="208" operator="equal">
      <formula>"d"</formula>
    </cfRule>
    <cfRule type="cellIs" dxfId="38" priority="209" operator="equal">
      <formula>"o"</formula>
    </cfRule>
    <cfRule type="cellIs" dxfId="37" priority="210" operator="equal">
      <formula>"x"</formula>
    </cfRule>
  </conditionalFormatting>
  <conditionalFormatting sqref="I22:L23">
    <cfRule type="cellIs" dxfId="36" priority="199" operator="equal">
      <formula>"s"</formula>
    </cfRule>
    <cfRule type="colorScale" priority="200">
      <colorScale>
        <cfvo type="min"/>
        <cfvo type="max"/>
        <color rgb="FFFF7128"/>
        <color rgb="FFFFEF9C"/>
      </colorScale>
    </cfRule>
    <cfRule type="cellIs" dxfId="35" priority="201" operator="equal">
      <formula>"h"</formula>
    </cfRule>
    <cfRule type="cellIs" dxfId="34" priority="202" operator="equal">
      <formula>"d"</formula>
    </cfRule>
    <cfRule type="cellIs" dxfId="33" priority="203" operator="equal">
      <formula>"o"</formula>
    </cfRule>
    <cfRule type="cellIs" dxfId="32" priority="204" operator="equal">
      <formula>"x"</formula>
    </cfRule>
  </conditionalFormatting>
  <conditionalFormatting sqref="K27:K30">
    <cfRule type="cellIs" dxfId="31" priority="193" operator="equal">
      <formula>"s"</formula>
    </cfRule>
    <cfRule type="colorScale" priority="194">
      <colorScale>
        <cfvo type="min"/>
        <cfvo type="max"/>
        <color rgb="FFFF7128"/>
        <color rgb="FFFFEF9C"/>
      </colorScale>
    </cfRule>
    <cfRule type="cellIs" dxfId="30" priority="195" operator="equal">
      <formula>"h"</formula>
    </cfRule>
    <cfRule type="cellIs" dxfId="29" priority="196" operator="equal">
      <formula>"d"</formula>
    </cfRule>
    <cfRule type="cellIs" dxfId="28" priority="197" operator="equal">
      <formula>"o"</formula>
    </cfRule>
    <cfRule type="cellIs" dxfId="27" priority="198" operator="equal">
      <formula>"x"</formula>
    </cfRule>
  </conditionalFormatting>
  <conditionalFormatting sqref="K26">
    <cfRule type="cellIs" dxfId="26" priority="157" operator="equal">
      <formula>"s"</formula>
    </cfRule>
    <cfRule type="colorScale" priority="158">
      <colorScale>
        <cfvo type="min"/>
        <cfvo type="max"/>
        <color rgb="FFFF7128"/>
        <color rgb="FFFFEF9C"/>
      </colorScale>
    </cfRule>
    <cfRule type="cellIs" dxfId="25" priority="159" operator="equal">
      <formula>"h"</formula>
    </cfRule>
    <cfRule type="cellIs" dxfId="24" priority="160" operator="equal">
      <formula>"d"</formula>
    </cfRule>
    <cfRule type="cellIs" dxfId="23" priority="161" operator="equal">
      <formula>"o"</formula>
    </cfRule>
    <cfRule type="cellIs" dxfId="22" priority="162" operator="equal">
      <formula>"x"</formula>
    </cfRule>
  </conditionalFormatting>
  <conditionalFormatting sqref="D19:E23">
    <cfRule type="cellIs" dxfId="21" priority="151" operator="equal">
      <formula>"s"</formula>
    </cfRule>
    <cfRule type="colorScale" priority="152">
      <colorScale>
        <cfvo type="min"/>
        <cfvo type="max"/>
        <color rgb="FFFF7128"/>
        <color rgb="FFFFEF9C"/>
      </colorScale>
    </cfRule>
    <cfRule type="cellIs" dxfId="20" priority="153" operator="equal">
      <formula>"h"</formula>
    </cfRule>
    <cfRule type="cellIs" dxfId="19" priority="154" operator="equal">
      <formula>"d"</formula>
    </cfRule>
    <cfRule type="cellIs" dxfId="18" priority="155" operator="equal">
      <formula>"o"</formula>
    </cfRule>
    <cfRule type="cellIs" dxfId="17" priority="156" operator="equal">
      <formula>"x"</formula>
    </cfRule>
  </conditionalFormatting>
  <conditionalFormatting sqref="F19:F20">
    <cfRule type="cellIs" dxfId="16" priority="145" operator="equal">
      <formula>"s"</formula>
    </cfRule>
    <cfRule type="colorScale" priority="146">
      <colorScale>
        <cfvo type="min"/>
        <cfvo type="max"/>
        <color rgb="FFFF7128"/>
        <color rgb="FFFFEF9C"/>
      </colorScale>
    </cfRule>
    <cfRule type="cellIs" dxfId="15" priority="147" operator="equal">
      <formula>"h"</formula>
    </cfRule>
    <cfRule type="cellIs" dxfId="14" priority="148" operator="equal">
      <formula>"d"</formula>
    </cfRule>
    <cfRule type="cellIs" dxfId="13" priority="149" operator="equal">
      <formula>"o"</formula>
    </cfRule>
    <cfRule type="cellIs" dxfId="12" priority="150" operator="equal">
      <formula>"x"</formula>
    </cfRule>
  </conditionalFormatting>
  <conditionalFormatting sqref="F21:F23">
    <cfRule type="cellIs" dxfId="11" priority="139" operator="equal">
      <formula>"s"</formula>
    </cfRule>
    <cfRule type="colorScale" priority="140">
      <colorScale>
        <cfvo type="min"/>
        <cfvo type="max"/>
        <color rgb="FFFF7128"/>
        <color rgb="FFFFEF9C"/>
      </colorScale>
    </cfRule>
    <cfRule type="cellIs" dxfId="10" priority="141" operator="equal">
      <formula>"h"</formula>
    </cfRule>
    <cfRule type="cellIs" dxfId="9" priority="142" operator="equal">
      <formula>"d"</formula>
    </cfRule>
    <cfRule type="cellIs" dxfId="8" priority="143" operator="equal">
      <formula>"o"</formula>
    </cfRule>
    <cfRule type="cellIs" dxfId="7" priority="144" operator="equal">
      <formula>"x"</formula>
    </cfRule>
  </conditionalFormatting>
  <conditionalFormatting sqref="L25:AE30">
    <cfRule type="cellIs" dxfId="6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5" priority="3" operator="equal">
      <formula>"h"</formula>
    </cfRule>
    <cfRule type="cellIs" dxfId="4" priority="4" operator="equal">
      <formula>"d"</formula>
    </cfRule>
    <cfRule type="cellIs" dxfId="3" priority="5" operator="equal">
      <formula>"o"</formula>
    </cfRule>
    <cfRule type="cellIs" dxfId="2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31"/>
  <sheetViews>
    <sheetView workbookViewId="0">
      <selection activeCell="D2" sqref="D2:F11"/>
    </sheetView>
  </sheetViews>
  <sheetFormatPr defaultRowHeight="15" x14ac:dyDescent="0.25"/>
  <cols>
    <col min="2" max="2" width="19.42578125" bestFit="1" customWidth="1"/>
    <col min="3" max="3" width="10.140625" bestFit="1" customWidth="1"/>
    <col min="4" max="4" width="6" bestFit="1" customWidth="1"/>
    <col min="5" max="5" width="6.140625" bestFit="1" customWidth="1"/>
    <col min="6" max="6" width="5" bestFit="1" customWidth="1"/>
    <col min="7" max="7" width="9.7109375" bestFit="1" customWidth="1"/>
    <col min="8" max="8" width="12.5703125" bestFit="1" customWidth="1"/>
  </cols>
  <sheetData>
    <row r="1" spans="2:8" ht="15.75" thickBot="1" x14ac:dyDescent="0.3"/>
    <row r="2" spans="2:8" ht="15.75" thickBot="1" x14ac:dyDescent="0.3">
      <c r="C2" s="173" t="s">
        <v>94</v>
      </c>
      <c r="D2" s="71" t="s">
        <v>0</v>
      </c>
      <c r="E2" s="71" t="s">
        <v>1</v>
      </c>
      <c r="F2" s="71" t="s">
        <v>4</v>
      </c>
      <c r="G2" s="183" t="str">
        <f>MechRoller!K2</f>
        <v>Total</v>
      </c>
    </row>
    <row r="3" spans="2:8" ht="15.75" thickBot="1" x14ac:dyDescent="0.3">
      <c r="B3" s="192" t="s">
        <v>31</v>
      </c>
      <c r="C3" s="160">
        <v>0.5</v>
      </c>
      <c r="D3" s="160">
        <f>MechRoller!F3</f>
        <v>5.8266820590511637E-2</v>
      </c>
      <c r="E3" s="166">
        <f>MechRoller!G3</f>
        <v>9.1395967432116421E-2</v>
      </c>
      <c r="F3" s="165" t="str">
        <f>MechRoller!H3</f>
        <v/>
      </c>
      <c r="G3" s="184">
        <f>MechRoller!K3</f>
        <v>0.64966278802262811</v>
      </c>
    </row>
    <row r="4" spans="2:8" ht="15.75" thickBot="1" x14ac:dyDescent="0.3">
      <c r="B4" s="193" t="s">
        <v>32</v>
      </c>
      <c r="C4" s="174">
        <v>0.6</v>
      </c>
      <c r="D4" s="174">
        <f>MechRoller!F4</f>
        <v>4.1530841963555241E-2</v>
      </c>
      <c r="E4" s="177" t="str">
        <f>MechRoller!G4</f>
        <v/>
      </c>
      <c r="F4" s="166" t="str">
        <f>MechRoller!H4</f>
        <v/>
      </c>
      <c r="G4" s="185">
        <f>MechRoller!K4</f>
        <v>0.64153084196355525</v>
      </c>
    </row>
    <row r="5" spans="2:8" ht="15.75" thickBot="1" x14ac:dyDescent="0.3">
      <c r="B5" s="194" t="s">
        <v>5</v>
      </c>
      <c r="C5" s="161">
        <v>20</v>
      </c>
      <c r="D5" s="164" t="str">
        <f>MechRoller!F5</f>
        <v/>
      </c>
      <c r="E5" s="178" t="str">
        <f>MechRoller!G5</f>
        <v/>
      </c>
      <c r="F5" s="207" t="str">
        <f>MechRoller!H5</f>
        <v/>
      </c>
      <c r="G5" s="186">
        <f>MechRoller!K5</f>
        <v>20</v>
      </c>
      <c r="H5" s="9" t="s">
        <v>92</v>
      </c>
    </row>
    <row r="6" spans="2:8" ht="15.75" thickBot="1" x14ac:dyDescent="0.3">
      <c r="B6" s="193" t="s">
        <v>6</v>
      </c>
      <c r="C6" s="161">
        <v>1</v>
      </c>
      <c r="D6" s="191">
        <f>MechRoller!F6</f>
        <v>-5.5374455951406991E-2</v>
      </c>
      <c r="E6" s="190" t="str">
        <f>MechRoller!G6</f>
        <v/>
      </c>
      <c r="F6" s="178" t="str">
        <f>MechRoller!H6</f>
        <v/>
      </c>
      <c r="G6" s="187">
        <f>MechRoller!K6</f>
        <v>0.944625544048593</v>
      </c>
      <c r="H6" s="9" t="s">
        <v>59</v>
      </c>
    </row>
    <row r="7" spans="2:8" x14ac:dyDescent="0.25">
      <c r="B7" s="195" t="s">
        <v>8</v>
      </c>
      <c r="C7" s="162">
        <v>0</v>
      </c>
      <c r="D7" s="175" t="str">
        <f>MechRoller!F7</f>
        <v/>
      </c>
      <c r="E7" s="113" t="str">
        <f>MechRoller!G7</f>
        <v/>
      </c>
      <c r="F7" s="167" t="str">
        <f>MechRoller!H7</f>
        <v/>
      </c>
      <c r="G7" s="186">
        <f>MechRoller!K7</f>
        <v>0</v>
      </c>
      <c r="H7" s="9"/>
    </row>
    <row r="8" spans="2:8" ht="15.75" thickBot="1" x14ac:dyDescent="0.3">
      <c r="B8" s="196" t="s">
        <v>49</v>
      </c>
      <c r="C8" s="162">
        <v>0</v>
      </c>
      <c r="D8" s="175" t="str">
        <f>MechRoller!F8</f>
        <v/>
      </c>
      <c r="E8" s="172">
        <f>MechRoller!G8</f>
        <v>5.1316509389462075</v>
      </c>
      <c r="F8" s="167" t="str">
        <f>MechRoller!H8</f>
        <v/>
      </c>
      <c r="G8" s="186">
        <f>MechRoller!K8</f>
        <v>5.1316509389462075</v>
      </c>
      <c r="H8" s="9"/>
    </row>
    <row r="9" spans="2:8" ht="15.75" thickBot="1" x14ac:dyDescent="0.3">
      <c r="B9" s="195" t="s">
        <v>50</v>
      </c>
      <c r="C9" s="162">
        <v>1</v>
      </c>
      <c r="D9" s="176" t="str">
        <f>MechRoller!F9</f>
        <v/>
      </c>
      <c r="E9" s="172">
        <f>MechRoller!G9</f>
        <v>0.18887425210272105</v>
      </c>
      <c r="F9" s="208" t="str">
        <f>MechRoller!H9</f>
        <v/>
      </c>
      <c r="G9" s="188">
        <f>MechRoller!K9</f>
        <v>1.1888742521027211</v>
      </c>
      <c r="H9" s="9"/>
    </row>
    <row r="10" spans="2:8" ht="15.75" thickBot="1" x14ac:dyDescent="0.3">
      <c r="B10" s="197" t="s">
        <v>51</v>
      </c>
      <c r="C10" s="162">
        <v>1</v>
      </c>
      <c r="D10" s="168">
        <f>MechRoller!F10</f>
        <v>0.47156041260511689</v>
      </c>
      <c r="E10" s="172">
        <f>MechRoller!G10</f>
        <v>0.25875362402016255</v>
      </c>
      <c r="F10" s="113" t="str">
        <f>MechRoller!H10</f>
        <v/>
      </c>
      <c r="G10" s="188">
        <f>MechRoller!K10</f>
        <v>1.7303140366252796</v>
      </c>
      <c r="H10" s="9"/>
    </row>
    <row r="11" spans="2:8" ht="15.75" thickBot="1" x14ac:dyDescent="0.3">
      <c r="B11" s="198" t="s">
        <v>15</v>
      </c>
      <c r="C11" s="163">
        <v>1</v>
      </c>
      <c r="D11" s="169" t="str">
        <f>MechRoller!F11</f>
        <v/>
      </c>
      <c r="E11" s="114">
        <f>MechRoller!G11</f>
        <v>4.5033989099955694</v>
      </c>
      <c r="F11" s="114">
        <f>MechRoller!H11</f>
        <v>3.433388896608236</v>
      </c>
      <c r="G11" s="189">
        <f>MechRoller!K11</f>
        <v>8.9367878066038049</v>
      </c>
      <c r="H11" s="9" t="s">
        <v>93</v>
      </c>
    </row>
    <row r="12" spans="2:8" ht="15.75" thickBot="1" x14ac:dyDescent="0.3"/>
    <row r="13" spans="2:8" ht="15.75" thickBot="1" x14ac:dyDescent="0.3">
      <c r="C13" s="200" t="s">
        <v>64</v>
      </c>
      <c r="D13" s="201"/>
      <c r="E13" s="202"/>
      <c r="F13" s="202"/>
      <c r="H13" s="38" t="s">
        <v>65</v>
      </c>
    </row>
    <row r="14" spans="2:8" x14ac:dyDescent="0.25">
      <c r="B14" s="199" t="s">
        <v>96</v>
      </c>
      <c r="C14" s="203" t="str">
        <f>MechRoller!I14</f>
        <v>Targetted Ranged Energy</v>
      </c>
      <c r="E14" s="32"/>
      <c r="F14" s="32"/>
      <c r="G14" s="199" t="s">
        <v>96</v>
      </c>
      <c r="H14" t="s">
        <v>98</v>
      </c>
    </row>
    <row r="15" spans="2:8" x14ac:dyDescent="0.25">
      <c r="B15" s="199" t="s">
        <v>46</v>
      </c>
      <c r="C15" s="204">
        <f>MechRoller!I16</f>
        <v>17.543183786250086</v>
      </c>
      <c r="G15" s="199" t="s">
        <v>46</v>
      </c>
    </row>
    <row r="16" spans="2:8" x14ac:dyDescent="0.25">
      <c r="B16" s="199" t="s">
        <v>7</v>
      </c>
      <c r="C16" s="204">
        <f>MechRoller!I18</f>
        <v>21.422330772589106</v>
      </c>
      <c r="G16" s="199" t="s">
        <v>97</v>
      </c>
    </row>
    <row r="17" spans="2:8" ht="15.75" thickBot="1" x14ac:dyDescent="0.3"/>
    <row r="18" spans="2:8" ht="15.75" thickBot="1" x14ac:dyDescent="0.3">
      <c r="C18" s="173" t="s">
        <v>94</v>
      </c>
      <c r="D18" s="71" t="s">
        <v>0</v>
      </c>
      <c r="E18" s="71" t="s">
        <v>1</v>
      </c>
      <c r="F18" s="71" t="s">
        <v>4</v>
      </c>
      <c r="G18" s="71" t="s">
        <v>2</v>
      </c>
      <c r="H18" s="72" t="s">
        <v>3</v>
      </c>
    </row>
    <row r="19" spans="2:8" x14ac:dyDescent="0.25">
      <c r="B19" s="199" t="s">
        <v>12</v>
      </c>
    </row>
    <row r="20" spans="2:8" x14ac:dyDescent="0.25">
      <c r="B20" s="199"/>
    </row>
    <row r="31" spans="2:8" x14ac:dyDescent="0.25">
      <c r="H31" t="s">
        <v>95</v>
      </c>
    </row>
  </sheetData>
  <conditionalFormatting sqref="C3:F11">
    <cfRule type="containsBlanks" dxfId="1" priority="1">
      <formula>LEN(TRIM(C3))=0</formula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"/>
  <sheetViews>
    <sheetView workbookViewId="0">
      <selection activeCell="K11" sqref="K11"/>
    </sheetView>
  </sheetViews>
  <sheetFormatPr defaultRowHeight="15" x14ac:dyDescent="0.25"/>
  <sheetData>
    <row r="1" spans="1:10" x14ac:dyDescent="0.25">
      <c r="A1" s="245"/>
      <c r="B1" s="246"/>
    </row>
    <row r="3" spans="1:10" x14ac:dyDescent="0.25">
      <c r="I3" s="248" t="s">
        <v>146</v>
      </c>
      <c r="J3" s="249" t="s">
        <v>146</v>
      </c>
    </row>
    <row r="4" spans="1:10" x14ac:dyDescent="0.25">
      <c r="I4" s="247" t="s">
        <v>146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8"/>
  <sheetViews>
    <sheetView workbookViewId="0">
      <selection activeCell="G26" sqref="G26"/>
    </sheetView>
  </sheetViews>
  <sheetFormatPr defaultRowHeight="15" x14ac:dyDescent="0.25"/>
  <cols>
    <col min="3" max="3" width="19.42578125" bestFit="1" customWidth="1"/>
    <col min="6" max="6" width="19.7109375" bestFit="1" customWidth="1"/>
  </cols>
  <sheetData>
    <row r="1" spans="2:8" ht="15.75" thickBot="1" x14ac:dyDescent="0.3"/>
    <row r="2" spans="2:8" ht="15.75" thickBot="1" x14ac:dyDescent="0.3">
      <c r="D2" s="52" t="s">
        <v>45</v>
      </c>
      <c r="E2" s="70" t="s">
        <v>0</v>
      </c>
      <c r="F2" s="71" t="s">
        <v>1</v>
      </c>
      <c r="G2" s="72" t="s">
        <v>4</v>
      </c>
      <c r="H2" s="217" t="s">
        <v>94</v>
      </c>
    </row>
    <row r="3" spans="2:8" ht="15.75" thickBot="1" x14ac:dyDescent="0.3">
      <c r="C3" s="209" t="s">
        <v>31</v>
      </c>
      <c r="D3" s="184">
        <f>MechRoller!K3</f>
        <v>0.64966278802262811</v>
      </c>
      <c r="E3" s="160">
        <f>MechRoller!F3</f>
        <v>5.8266820590511637E-2</v>
      </c>
      <c r="F3" s="166">
        <f>MechRoller!G3</f>
        <v>9.1395967432116421E-2</v>
      </c>
      <c r="G3" s="165" t="str">
        <f>MechRoller!H3</f>
        <v/>
      </c>
      <c r="H3" s="225">
        <f>MechRoller!E3</f>
        <v>0.5</v>
      </c>
    </row>
    <row r="4" spans="2:8" ht="15.75" thickBot="1" x14ac:dyDescent="0.3">
      <c r="C4" s="210" t="s">
        <v>32</v>
      </c>
      <c r="D4" s="185">
        <f>MechRoller!K4</f>
        <v>0.64153084196355525</v>
      </c>
      <c r="E4" s="174">
        <f>MechRoller!F4</f>
        <v>4.1530841963555241E-2</v>
      </c>
      <c r="F4" s="177" t="str">
        <f>MechRoller!G4</f>
        <v/>
      </c>
      <c r="G4" s="166" t="str">
        <f>MechRoller!H4</f>
        <v/>
      </c>
    </row>
    <row r="5" spans="2:8" ht="15.75" thickBot="1" x14ac:dyDescent="0.3">
      <c r="C5" s="211" t="s">
        <v>5</v>
      </c>
      <c r="D5" s="186">
        <f>MechRoller!K5</f>
        <v>20</v>
      </c>
      <c r="E5" s="164" t="str">
        <f>MechRoller!F5</f>
        <v/>
      </c>
      <c r="F5" s="178" t="str">
        <f>MechRoller!G5</f>
        <v/>
      </c>
      <c r="G5" s="179" t="str">
        <f>MechRoller!H5</f>
        <v/>
      </c>
    </row>
    <row r="6" spans="2:8" ht="15.75" thickBot="1" x14ac:dyDescent="0.3">
      <c r="C6" s="210" t="s">
        <v>6</v>
      </c>
      <c r="D6" s="187">
        <f>MechRoller!K6</f>
        <v>0.944625544048593</v>
      </c>
      <c r="E6" s="191">
        <f>MechRoller!F6</f>
        <v>-5.5374455951406991E-2</v>
      </c>
      <c r="F6" s="190" t="str">
        <f>MechRoller!G6</f>
        <v/>
      </c>
      <c r="G6" s="180" t="str">
        <f>MechRoller!H6</f>
        <v/>
      </c>
    </row>
    <row r="7" spans="2:8" x14ac:dyDescent="0.25">
      <c r="C7" s="212" t="s">
        <v>8</v>
      </c>
      <c r="D7" s="186">
        <f>MechRoller!K7</f>
        <v>0</v>
      </c>
      <c r="E7" s="175" t="str">
        <f>MechRoller!F7</f>
        <v/>
      </c>
      <c r="F7" s="113" t="str">
        <f>MechRoller!G7</f>
        <v/>
      </c>
      <c r="G7" s="170" t="str">
        <f>MechRoller!H7</f>
        <v/>
      </c>
    </row>
    <row r="8" spans="2:8" ht="15.75" thickBot="1" x14ac:dyDescent="0.3">
      <c r="C8" s="213" t="s">
        <v>49</v>
      </c>
      <c r="D8" s="186">
        <f>MechRoller!K8</f>
        <v>5.1316509389462075</v>
      </c>
      <c r="E8" s="175" t="str">
        <f>MechRoller!F8</f>
        <v/>
      </c>
      <c r="F8" s="172">
        <f>MechRoller!G8</f>
        <v>5.1316509389462075</v>
      </c>
      <c r="G8" s="170" t="str">
        <f>MechRoller!H8</f>
        <v/>
      </c>
    </row>
    <row r="9" spans="2:8" ht="15.75" thickBot="1" x14ac:dyDescent="0.3">
      <c r="C9" s="212" t="s">
        <v>50</v>
      </c>
      <c r="D9" s="188">
        <f>MechRoller!K9</f>
        <v>1.1888742521027211</v>
      </c>
      <c r="E9" s="176" t="str">
        <f>MechRoller!F9</f>
        <v/>
      </c>
      <c r="F9" s="172">
        <f>MechRoller!G9</f>
        <v>0.18887425210272105</v>
      </c>
      <c r="G9" s="171" t="str">
        <f>MechRoller!H9</f>
        <v/>
      </c>
    </row>
    <row r="10" spans="2:8" ht="15.75" thickBot="1" x14ac:dyDescent="0.3">
      <c r="C10" s="214" t="s">
        <v>51</v>
      </c>
      <c r="D10" s="188">
        <f>MechRoller!K10</f>
        <v>1.7303140366252796</v>
      </c>
      <c r="E10" s="168">
        <f>MechRoller!F10</f>
        <v>0.47156041260511689</v>
      </c>
      <c r="F10" s="172">
        <f>MechRoller!G10</f>
        <v>0.25875362402016255</v>
      </c>
      <c r="G10" s="113" t="str">
        <f>MechRoller!H10</f>
        <v/>
      </c>
    </row>
    <row r="11" spans="2:8" ht="15.75" thickBot="1" x14ac:dyDescent="0.3">
      <c r="C11" s="215" t="s">
        <v>15</v>
      </c>
      <c r="D11" s="189">
        <f>MechRoller!K11</f>
        <v>8.9367878066038049</v>
      </c>
      <c r="E11" s="168" t="str">
        <f>MechRoller!F11</f>
        <v/>
      </c>
      <c r="F11" s="114">
        <f>MechRoller!G11</f>
        <v>4.5033989099955694</v>
      </c>
      <c r="G11" s="114">
        <f>MechRoller!H11</f>
        <v>3.433388896608236</v>
      </c>
    </row>
    <row r="13" spans="2:8" ht="15.75" thickBot="1" x14ac:dyDescent="0.3"/>
    <row r="14" spans="2:8" ht="15.75" thickBot="1" x14ac:dyDescent="0.3">
      <c r="C14" s="70" t="s">
        <v>2</v>
      </c>
      <c r="D14" s="71" t="s">
        <v>3</v>
      </c>
      <c r="E14" s="205" t="s">
        <v>0</v>
      </c>
      <c r="F14" s="205" t="s">
        <v>1</v>
      </c>
      <c r="G14" s="71" t="s">
        <v>4</v>
      </c>
      <c r="H14" s="217" t="s">
        <v>94</v>
      </c>
    </row>
    <row r="15" spans="2:8" ht="15.75" thickBot="1" x14ac:dyDescent="0.3">
      <c r="B15" s="43" t="s">
        <v>99</v>
      </c>
      <c r="C15" s="34">
        <v>17</v>
      </c>
      <c r="D15" s="218" t="s">
        <v>101</v>
      </c>
      <c r="E15" s="219"/>
      <c r="F15" s="220"/>
      <c r="G15" s="28">
        <v>20</v>
      </c>
      <c r="H15" s="220"/>
    </row>
    <row r="16" spans="2:8" ht="15.75" thickBot="1" x14ac:dyDescent="0.3">
      <c r="B16" s="45" t="s">
        <v>100</v>
      </c>
      <c r="C16" s="223" t="str">
        <f>CONCATENATE(ROUNDUP(MechRoller!I15/2,0),"/",ROUNDUP(MechRoller!I15,0))</f>
        <v>76/152</v>
      </c>
      <c r="D16" s="221" t="s">
        <v>101</v>
      </c>
      <c r="E16" s="223" t="str">
        <f>CONCATENATE(ROUNDUP(MechRoller!F15/2,0),"/",ROUNDUP(MechRoller!F15,0))</f>
        <v>18/35</v>
      </c>
      <c r="F16" s="223" t="str">
        <f>CONCATENATE(ROUNDUP(MechRoller!G15/2,0),"/",ROUNDUP(MechRoller!G15,0))</f>
        <v>8/15</v>
      </c>
      <c r="G16" s="223" t="str">
        <f>CONCATENATE(ROUNDUP(MechRoller!H15/2,0),"/",ROUNDUP(MechRoller!H15,0))</f>
        <v>35/69</v>
      </c>
      <c r="H16" s="222" t="str">
        <f>CONCATENATE(MechRoller!E15/2,"/",MechRoller!E15)</f>
        <v>25/50</v>
      </c>
    </row>
    <row r="17" spans="2:3" x14ac:dyDescent="0.25">
      <c r="B17" s="43" t="s">
        <v>96</v>
      </c>
      <c r="C17" s="216" t="str">
        <f>MechRoller!I14</f>
        <v>Targetted Ranged Energy</v>
      </c>
    </row>
    <row r="18" spans="2:3" ht="15.75" thickBot="1" x14ac:dyDescent="0.3">
      <c r="B18" s="45" t="s">
        <v>7</v>
      </c>
      <c r="C18" s="224">
        <f>MechRoller!I18</f>
        <v>21.422330772589106</v>
      </c>
    </row>
  </sheetData>
  <conditionalFormatting sqref="E3:G11">
    <cfRule type="containsBlanks" dxfId="0" priority="1">
      <formula>LEN(TRIM(E3))=0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8"/>
  <sheetViews>
    <sheetView workbookViewId="0">
      <selection activeCell="D23" sqref="D23"/>
    </sheetView>
  </sheetViews>
  <sheetFormatPr defaultRowHeight="15" x14ac:dyDescent="0.25"/>
  <sheetData>
    <row r="1" spans="1:5" x14ac:dyDescent="0.25">
      <c r="A1" t="s">
        <v>121</v>
      </c>
    </row>
    <row r="2" spans="1:5" x14ac:dyDescent="0.25">
      <c r="A2" t="s">
        <v>122</v>
      </c>
    </row>
    <row r="3" spans="1:5" x14ac:dyDescent="0.25">
      <c r="A3" t="s">
        <v>126</v>
      </c>
    </row>
    <row r="4" spans="1:5" x14ac:dyDescent="0.25">
      <c r="A4" t="s">
        <v>123</v>
      </c>
    </row>
    <row r="5" spans="1:5" x14ac:dyDescent="0.25">
      <c r="A5" t="s">
        <v>124</v>
      </c>
    </row>
    <row r="6" spans="1:5" x14ac:dyDescent="0.25">
      <c r="A6" t="s">
        <v>125</v>
      </c>
    </row>
    <row r="7" spans="1:5" x14ac:dyDescent="0.25">
      <c r="A7" t="s">
        <v>127</v>
      </c>
    </row>
    <row r="8" spans="1:5" x14ac:dyDescent="0.25">
      <c r="A8" t="s">
        <v>128</v>
      </c>
    </row>
    <row r="10" spans="1:5" x14ac:dyDescent="0.25">
      <c r="A10" t="s">
        <v>129</v>
      </c>
    </row>
    <row r="11" spans="1:5" x14ac:dyDescent="0.25">
      <c r="A11" t="s">
        <v>130</v>
      </c>
      <c r="E11" t="s">
        <v>141</v>
      </c>
    </row>
    <row r="12" spans="1:5" x14ac:dyDescent="0.25">
      <c r="A12" t="s">
        <v>140</v>
      </c>
      <c r="E12" t="s">
        <v>142</v>
      </c>
    </row>
    <row r="13" spans="1:5" x14ac:dyDescent="0.25">
      <c r="A13" t="s">
        <v>135</v>
      </c>
      <c r="E13" t="s">
        <v>143</v>
      </c>
    </row>
    <row r="14" spans="1:5" x14ac:dyDescent="0.25">
      <c r="A14" t="s">
        <v>131</v>
      </c>
      <c r="C14" t="s">
        <v>136</v>
      </c>
    </row>
    <row r="15" spans="1:5" x14ac:dyDescent="0.25">
      <c r="A15" t="s">
        <v>132</v>
      </c>
      <c r="C15" t="s">
        <v>137</v>
      </c>
    </row>
    <row r="16" spans="1:5" x14ac:dyDescent="0.25">
      <c r="A16" t="s">
        <v>133</v>
      </c>
      <c r="C16" t="s">
        <v>138</v>
      </c>
    </row>
    <row r="17" spans="1:3" x14ac:dyDescent="0.25">
      <c r="A17" t="s">
        <v>134</v>
      </c>
      <c r="C17" t="s">
        <v>139</v>
      </c>
    </row>
    <row r="18" spans="1:3" x14ac:dyDescent="0.25">
      <c r="C18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Guidelines</vt:lpstr>
      <vt:lpstr>MechRoller</vt:lpstr>
      <vt:lpstr>Hulls</vt:lpstr>
      <vt:lpstr>WeaponRoller</vt:lpstr>
      <vt:lpstr>MoreWeaponNotes</vt:lpstr>
      <vt:lpstr>BlankMap</vt:lpstr>
      <vt:lpstr>Map1</vt:lpstr>
      <vt:lpstr>Map2</vt:lpstr>
      <vt:lpstr>Map3</vt:lpstr>
      <vt:lpstr>Map4</vt:lpstr>
      <vt:lpstr>Map5</vt:lpstr>
      <vt:lpstr>Map6</vt:lpstr>
      <vt:lpstr>Map7</vt:lpstr>
      <vt:lpstr>Map8</vt:lpstr>
      <vt:lpstr>UIScrap</vt:lpstr>
      <vt:lpstr>Sheet9</vt:lpstr>
      <vt:lpstr>UIScrap2</vt:lpstr>
      <vt:lpstr>Metanotes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Sun</dc:creator>
  <cp:lastModifiedBy>The Sun</cp:lastModifiedBy>
  <dcterms:created xsi:type="dcterms:W3CDTF">2015-06-05T17:43:54Z</dcterms:created>
  <dcterms:modified xsi:type="dcterms:W3CDTF">2015-06-07T04:15:02Z</dcterms:modified>
</cp:coreProperties>
</file>